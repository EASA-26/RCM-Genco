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mytnb.sharepoint.com/sites/TSREMechanical/Shared Documents/RCM/"/>
    </mc:Choice>
  </mc:AlternateContent>
  <xr:revisionPtr revIDLastSave="40" documentId="8_{E8B80354-9C9B-4ABD-80E7-3B2B09459153}" xr6:coauthVersionLast="47" xr6:coauthVersionMax="47" xr10:uidLastSave="{71DD7481-2BE3-4033-96F0-24CF9286751E}"/>
  <bookViews>
    <workbookView minimized="1" xWindow="2880" yWindow="2880" windowWidth="14400" windowHeight="8170" activeTab="1" xr2:uid="{39C6B144-9837-49A8-A55F-A55231F9F788}"/>
  </bookViews>
  <sheets>
    <sheet name="Notes" sheetId="6" r:id="rId1"/>
    <sheet name="Data" sheetId="1" r:id="rId2"/>
    <sheet name="Query" sheetId="2" r:id="rId3"/>
    <sheet name="Summary" sheetId="4" r:id="rId4"/>
    <sheet name="Current vs RCM" sheetId="10" r:id="rId5"/>
    <sheet name="Sheet2" sheetId="8" r:id="rId6"/>
  </sheets>
  <functionGroups builtInGroupCount="19"/>
  <definedNames>
    <definedName name="_xlnm._FilterDatabase" localSheetId="4" hidden="1">'Current vs RCM'!$A$3:$P$52</definedName>
    <definedName name="_xleta.AND" hidden="1" xlm="1">#NAME?</definedName>
    <definedName name="_xleta.CLEAN" hidden="1" xlm="1">#NAME?</definedName>
    <definedName name="_xleta.FILTER" hidden="1" xlm="1">#NAME?</definedName>
    <definedName name="Consequences" localSheetId="4">#REF!</definedName>
    <definedName name="Consequences">#REF!</definedName>
    <definedName name="ExternalData_1" localSheetId="2" hidden="1">Query!$A$1:$Y$261</definedName>
    <definedName name="Likelihood" localSheetId="4">#REF!</definedName>
    <definedName name="Likelihood">#REF!</definedName>
    <definedName name="_xlnm.Print_Area" localSheetId="4">'Current vs RCM'!$A$1:$O$20</definedName>
    <definedName name="_xlnm.Print_Titles" localSheetId="4">'Current vs RCM'!$1:$3</definedName>
    <definedName name="RiskMatrix" localSheetId="4">#REF!</definedName>
    <definedName name="RiskMatrix">#REF!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4" i="4" l="1"/>
  <c r="D25" i="4"/>
  <c r="D26" i="4"/>
  <c r="D27" i="4"/>
  <c r="C25" i="4"/>
  <c r="C26" i="4"/>
  <c r="C27" i="4"/>
  <c r="C24" i="4"/>
  <c r="D23" i="4"/>
  <c r="C23" i="4"/>
  <c r="C11" i="4"/>
  <c r="C19" i="4"/>
  <c r="C18" i="4"/>
  <c r="C17" i="4"/>
  <c r="C16" i="4"/>
  <c r="C15" i="4"/>
  <c r="C14" i="4"/>
  <c r="C13" i="4"/>
  <c r="C12" i="4"/>
  <c r="C10" i="4"/>
  <c r="C9" i="4"/>
  <c r="C8" i="4"/>
  <c r="C7" i="4"/>
  <c r="C6" i="4"/>
  <c r="C4" i="4" a="1"/>
  <c r="C4" i="4" s="1"/>
  <c r="C5" i="4"/>
  <c r="E24" i="4" l="1"/>
  <c r="E27" i="4"/>
  <c r="E26" i="4"/>
  <c r="E25" i="4"/>
  <c r="E23" i="4"/>
  <c r="C20" i="4"/>
  <c r="D19" i="4" l="1"/>
  <c r="D18" i="4"/>
  <c r="D17" i="4"/>
  <c r="D16" i="4"/>
  <c r="D15" i="4"/>
  <c r="D14" i="4"/>
  <c r="D13" i="4"/>
  <c r="D12" i="4"/>
  <c r="D11" i="4"/>
  <c r="D10" i="4"/>
  <c r="D9" i="4"/>
  <c r="D8" i="4"/>
  <c r="D7" i="4"/>
  <c r="D6" i="4"/>
  <c r="D4" i="4"/>
  <c r="D5" i="4"/>
  <c r="D20"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5FEB8-A332-4D04-A1D0-1E0F239F94C2}" keepAlive="1" name="Query - MainQuery" description="Connection to the 'MainQuery' query in the workbook." type="5" refreshedVersion="8" background="1" saveData="1">
    <dbPr connection="Provider=Microsoft.Mashup.OleDb.1;Data Source=$Workbook$;Location=MainQuery;Extended Properties=&quot;&quot;" command="SELECT * FROM [MainQuery]"/>
  </connection>
  <connection id="2" xr16:uid="{65950C6E-DCB1-4C31-BF0D-7F2D618BE40F}"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<sst xmlns="http://schemas.openxmlformats.org/spreadsheetml/2006/main" count="3211" uniqueCount="418">
  <si>
    <t>Site</t>
  </si>
  <si>
    <t>RCM_ID</t>
  </si>
  <si>
    <t>RCM_No</t>
  </si>
  <si>
    <t>Version</t>
  </si>
  <si>
    <t>F_ID</t>
  </si>
  <si>
    <t>Function</t>
  </si>
  <si>
    <t>FF_ID</t>
  </si>
  <si>
    <t>Function_Failure</t>
  </si>
  <si>
    <t>FM_ID</t>
  </si>
  <si>
    <t>Failure_Mode</t>
  </si>
  <si>
    <t>Failure_Effect</t>
  </si>
  <si>
    <t>Analysis_Tracking</t>
  </si>
  <si>
    <t>Recommended_Strategy</t>
  </si>
  <si>
    <t>Proposed_Task</t>
  </si>
  <si>
    <t>Interval</t>
  </si>
  <si>
    <t>Work_Center</t>
  </si>
  <si>
    <t>Implemented</t>
  </si>
  <si>
    <t>KKS_Code</t>
  </si>
  <si>
    <t>Previous_Proposed_Task</t>
  </si>
  <si>
    <t>Previous_Interval</t>
  </si>
  <si>
    <t>n/a</t>
  </si>
  <si>
    <t>R-PRO</t>
  </si>
  <si>
    <t>AS</t>
  </si>
  <si>
    <t>OC</t>
  </si>
  <si>
    <t>SD</t>
  </si>
  <si>
    <t>R-SPARE</t>
  </si>
  <si>
    <t>FF</t>
  </si>
  <si>
    <t>NSM</t>
  </si>
  <si>
    <t>Reference</t>
  </si>
  <si>
    <t>Failure_Mode+Proposed_Task</t>
  </si>
  <si>
    <t>F01/FF01/FM01</t>
  </si>
  <si>
    <t>Count</t>
  </si>
  <si>
    <t>Duplicate</t>
  </si>
  <si>
    <t>Existing</t>
  </si>
  <si>
    <t>Revised</t>
  </si>
  <si>
    <t>F</t>
  </si>
  <si>
    <t xml:space="preserve">Functions </t>
  </si>
  <si>
    <t>Failure Mode</t>
  </si>
  <si>
    <t>OC - On Condition Task</t>
  </si>
  <si>
    <t>SR</t>
  </si>
  <si>
    <t>SR - Schedule Restoration</t>
  </si>
  <si>
    <t>SD - Schedule Discard</t>
  </si>
  <si>
    <t>FF - Failure Finding</t>
  </si>
  <si>
    <t>NSM - No Schedule Maintenance</t>
  </si>
  <si>
    <t>OCSR</t>
  </si>
  <si>
    <t>OCSR - On Condition Task and Schedule Restoration</t>
  </si>
  <si>
    <t>OCSD</t>
  </si>
  <si>
    <t>OCSD - On Condition Task and Schedule Discard</t>
  </si>
  <si>
    <t>R-PRO - Redesign - Procedure</t>
  </si>
  <si>
    <t>R - SPARE - Redesign - Spare Management</t>
  </si>
  <si>
    <t>R-TRN - Redesign - Training</t>
  </si>
  <si>
    <t>R-HRD - Redesign - Hardware</t>
  </si>
  <si>
    <t>Other Function - Refer to Other Function</t>
  </si>
  <si>
    <t>AS - Analysed Separately</t>
  </si>
  <si>
    <t>Not Analysed</t>
  </si>
  <si>
    <t xml:space="preserve">Total Task </t>
  </si>
  <si>
    <t>Task Executed</t>
  </si>
  <si>
    <t xml:space="preserve">Pending Task </t>
  </si>
  <si>
    <t>R-HRD</t>
  </si>
  <si>
    <t>R-TRN</t>
  </si>
  <si>
    <t>Other Function</t>
  </si>
  <si>
    <t>N/A</t>
  </si>
  <si>
    <t>Counted Data</t>
  </si>
  <si>
    <t>Title:</t>
  </si>
  <si>
    <t>Trade</t>
  </si>
  <si>
    <t>Remarks</t>
  </si>
  <si>
    <t>Please read:</t>
  </si>
  <si>
    <t xml:space="preserve">2. The new data query will be shown on "Query" sheet. </t>
  </si>
  <si>
    <t>1. In Data sheet, Please delete every row first (except header and a single row), and make sure that there is only single line empty below the header. Then, paste the raw data into the Data sheet. Make sure to NOT change the header. Then click on "Data" tab on the upper side, and choose "Queries &amp; Connections" to open Query. After that, please refresh the "MainQuery" on right hand side.</t>
  </si>
  <si>
    <t>F01</t>
  </si>
  <si>
    <t>FF01</t>
  </si>
  <si>
    <t>FM01</t>
  </si>
  <si>
    <t>FF02</t>
  </si>
  <si>
    <t>FM02</t>
  </si>
  <si>
    <t>FM03</t>
  </si>
  <si>
    <t>FM04</t>
  </si>
  <si>
    <t>F04</t>
  </si>
  <si>
    <t>F05</t>
  </si>
  <si>
    <t>F06</t>
  </si>
  <si>
    <t>F07</t>
  </si>
  <si>
    <t>Column1</t>
  </si>
  <si>
    <t>Column2</t>
  </si>
  <si>
    <t>Column3</t>
  </si>
  <si>
    <t>Column4</t>
  </si>
  <si>
    <t>0</t>
  </si>
  <si>
    <t>F01/FF02/FM01</t>
  </si>
  <si>
    <t>Unique</t>
  </si>
  <si>
    <t>F01/FF02/FM02</t>
  </si>
  <si>
    <t>F04/FF01/FM01</t>
  </si>
  <si>
    <t>F04/FF01/FM02</t>
  </si>
  <si>
    <t>F04/FF02/FM01</t>
  </si>
  <si>
    <t>F05/FF01/FM01</t>
  </si>
  <si>
    <t>F05/FF01/FM02</t>
  </si>
  <si>
    <t>F06/FF01/FM01</t>
  </si>
  <si>
    <t>F06/FF01/FM02</t>
  </si>
  <si>
    <t>F07/FF01/FM01</t>
  </si>
  <si>
    <t>4Y</t>
  </si>
  <si>
    <t>FF03</t>
  </si>
  <si>
    <t>F02</t>
  </si>
  <si>
    <t>F01/FF01/FM02</t>
  </si>
  <si>
    <t>F02/FF01/FM01</t>
  </si>
  <si>
    <t>F04/FF01/FM03</t>
  </si>
  <si>
    <t>F05/FF01/FM03</t>
  </si>
  <si>
    <t>F05/FF01/FM04</t>
  </si>
  <si>
    <t>F06/FF01/FM03</t>
  </si>
  <si>
    <t>//</t>
  </si>
  <si>
    <t/>
  </si>
  <si>
    <t>No</t>
  </si>
  <si>
    <t>Ref</t>
  </si>
  <si>
    <t>Proposed Task</t>
  </si>
  <si>
    <t>Type Of Asset</t>
  </si>
  <si>
    <t>3. For Summary, please check the names registered in the raw data analysis are same as those defined in the table in the Summary sheet. Please be noted that the table will follow exactly as the Query sheet. If there are changes, please change</t>
  </si>
  <si>
    <t>4. For Summary's Chart, please choose filter accordingly.</t>
  </si>
  <si>
    <r>
      <t xml:space="preserve">Current Maintenance Plan </t>
    </r>
    <r>
      <rPr>
        <i/>
        <sz val="14"/>
        <color theme="1"/>
        <rFont val="Calibri"/>
        <family val="2"/>
      </rPr>
      <t>(TRUE)</t>
    </r>
  </si>
  <si>
    <r>
      <t xml:space="preserve">RCM Recommended Maintenance Plan </t>
    </r>
    <r>
      <rPr>
        <i/>
        <sz val="14"/>
        <color theme="1"/>
        <rFont val="Calibri"/>
        <family val="2"/>
      </rPr>
      <t>(TRUE+FALSE)</t>
    </r>
  </si>
  <si>
    <t>JMJ4OPER</t>
  </si>
  <si>
    <t>JMJ4TURB</t>
  </si>
  <si>
    <t>FM05</t>
  </si>
  <si>
    <t>FM06</t>
  </si>
  <si>
    <t>H(Y) =&gt; S(N) =&gt; E(N) =&gt; O(Y) =&gt; O1(Y) =&gt; OC</t>
  </si>
  <si>
    <t>JMJ4INCS</t>
  </si>
  <si>
    <t>JMJ4RELB</t>
  </si>
  <si>
    <t>FM07</t>
  </si>
  <si>
    <t>FM08</t>
  </si>
  <si>
    <t>FM09</t>
  </si>
  <si>
    <t>H(Y) =&gt; S(N) =&gt; E(N) =&gt; O(N) =&gt; N1(Y) =&gt; OC</t>
  </si>
  <si>
    <t>6M</t>
  </si>
  <si>
    <t>FM10</t>
  </si>
  <si>
    <t>JMJ4ELEC</t>
  </si>
  <si>
    <t>F04/FF02/FM03</t>
  </si>
  <si>
    <t>F05/FF01/FM05</t>
  </si>
  <si>
    <t>F05/FF01/FM06</t>
  </si>
  <si>
    <t>F05/FF01/FM07</t>
  </si>
  <si>
    <t>F07/FF01/FM02</t>
  </si>
  <si>
    <t>F07/FF01/FM03</t>
  </si>
  <si>
    <t>.TNB.Genco.PRAI</t>
  </si>
  <si>
    <t>.TNB.Genco.PRAI-010.01</t>
  </si>
  <si>
    <t>To supply feedwater from Condensate Pre-Heater (CPH) to HRSG systems at the rate of total differential head (TDH) above 2010m.</t>
  </si>
  <si>
    <t>Unable to supply feedwater at all</t>
  </si>
  <si>
    <t>ARCV stuck</t>
  </si>
  <si>
    <t xml:space="preserve">In the event, flow of feedwater will decrease, and L-L flow alarm will be triggered if below than 28.1kg/s. FWP will trip and standby pump will cut in. No direct impact to operation. 
Duration for replacement: 
Spare available. Replacement of ARCV required 5 days.
Spare not available. the delivery lead time is 6 months.
</t>
  </si>
  <si>
    <t>H(Y) =&gt; S(N) =&gt; E(N) =&gt; O(N) =&gt; N1(N) =&gt; N2(N) =&gt; N3(N) =&gt; R-SPARE</t>
  </si>
  <si>
    <t xml:space="preserve">Ensure spare is available. </t>
  </si>
  <si>
    <t>8Y</t>
  </si>
  <si>
    <t>NPRIBOIL</t>
  </si>
  <si>
    <t>LAC/10/20/30/AZ001</t>
  </si>
  <si>
    <t>ARCV control block malfunction</t>
  </si>
  <si>
    <t>In the event, flow of feedwater will decrease, and low flow alarm will be triggered if below than 28.1kg/s. FWP will trip and standby pump will cut in. No direct impact to operation. 
Duration for replacement: 
Spare available. Replacement of ARCV required 1 day.
Spare not available. the delivery lead time is 6 months.</t>
  </si>
  <si>
    <t>ARCV hydraulic hose snap</t>
  </si>
  <si>
    <t>In the event, flow of feedwater will decrease, and low flow alarm will be triggered if below than 28.1kg/s. FWP will trip and standby pump will cut in. No direct impact to operation. 
Duration for replacement: 
Spare available. Replacement of hose required 1 day.
Spare not available. the delivery lead time is 6 months.</t>
  </si>
  <si>
    <t>Inlet suction strainer choked</t>
  </si>
  <si>
    <t>In the event, dP H-H alarm will trigger at 0.6 barg. Pump will trip and standby pump will cut in. No direct impact to operation.
Duration for strainer cleaning is only 1 day.</t>
  </si>
  <si>
    <t>H(Y) =&gt; S(N) =&gt; E(N) =&gt; O(N) =&gt; N1(N) =&gt; N2(Y) =&gt; SR</t>
  </si>
  <si>
    <t>Clean the strainer.</t>
  </si>
  <si>
    <t>LAB10/20/30/AT001</t>
  </si>
  <si>
    <t>Reverse rotation sensor motor faulty</t>
  </si>
  <si>
    <t>In the event, during startup the permissive start for pump is available. OPER will manually intervene to changeover the standby pump. No direct impact to operation.
Duration for replacement: 
Spare available. Replacement of sensor required 1 day only. 
Spare not available. the delivery lead time is 6 months.</t>
  </si>
  <si>
    <t>Ensure spare available</t>
  </si>
  <si>
    <t>NPRICNI</t>
  </si>
  <si>
    <t>10/20LAC10/20/30CS081</t>
  </si>
  <si>
    <t>Motor bearing jammed</t>
  </si>
  <si>
    <t xml:space="preserve">In the event, temperature and vibration of motor will increase. Amp and winding for motor will also has direct impact to the event. H-H vibration alarm will trigger at 121-micron, pump will trip and standby pump will cut in. No direct impact to operation. 
Duration for repair: 
Bearing repair will take up to 2 weeks.
Motor rewinding will take up to 3 weeks.
</t>
  </si>
  <si>
    <t>Conduct vibration analysis</t>
  </si>
  <si>
    <t>NPRIELEC</t>
  </si>
  <si>
    <t>LAC10/20/30/AP001(-M01)</t>
  </si>
  <si>
    <t>Motor winding temperature sensor drifted high</t>
  </si>
  <si>
    <t>In the event, motor will trip due to false signal of high temperature. H-h temperature alarm will trigger at 135 deg C. Standby pump will cut in. No direct impact to operation.
Duration for repair: 
Motor rewinding will take up to 3 weeks.</t>
  </si>
  <si>
    <t>H(Y) =&gt; S(N) =&gt; E(N) =&gt; O(N) =&gt; N1(N) =&gt; N2(N) =&gt; N3(N) =&gt; NSM</t>
  </si>
  <si>
    <t>To swap with existing spare sensor at motor winding</t>
  </si>
  <si>
    <t>LAC/10/20/30/CT107/108/109</t>
  </si>
  <si>
    <t>Motor coupling snap</t>
  </si>
  <si>
    <t xml:space="preserve">In the event, motor vibration will increase and motor amp will decrease. Feedwater flow will also decrease. H-H vibration alarm will trigger at 121-micron, pump will trip and standby pump will cut in. No direct impact to operation. 
Duration for repair: 
Spare available. Duration for coupling replacement is 7 days.
Spare not available. Delivery lead time and replacement duration is 6 months.
</t>
  </si>
  <si>
    <t>FM11</t>
  </si>
  <si>
    <t>Feedwater pump impeller seized</t>
  </si>
  <si>
    <t xml:space="preserve">In the event, motor Amp will overload and trip the motor. Flow of feedwater will have a sudden drop. Standby pump will cut in. No direct impact to operation.
Duration for repair: 
Spare available. Feedwater pump overhaul 30 days.
Spare not available. The delivery lead time is 7 months (including overhaul).
</t>
  </si>
  <si>
    <t>Ensure spare is available</t>
  </si>
  <si>
    <t>LAC10/20/30/AP001</t>
  </si>
  <si>
    <t>FM12</t>
  </si>
  <si>
    <t>Feedwater pump sleeve bearing jammed</t>
  </si>
  <si>
    <t xml:space="preserve">In the event, temperature and vibration of pump will increase. H-H vibration alarm will trigger at 100-micron, pump will trip and standby pump will cut in. No direct impact to operation. 
Duration for repair: 
Spare available. Feedwater pump overhaul 30 days.
Spare not available. The delivery lead time is 7 months (including overhaul).
</t>
  </si>
  <si>
    <t>Conduct vibration analysis. 
Conduct pump overhaul when abnormalities found or more than 8 years.</t>
  </si>
  <si>
    <t>FM16</t>
  </si>
  <si>
    <t>Any flange/pipe for FWP severe leaking/damage</t>
  </si>
  <si>
    <t>In the event, flow of feedwater will decrease, and L-L TDH alarm will be triggered if below than 1960m. Standby pump will cut in to maintain TDH level. OPER to manually intervene to shut down and isolate the affected pump and pipe/flange. No direct impact to operation. 
Duration for repair: 
Spare not available. Repair pipe/flange duration 4 months.</t>
  </si>
  <si>
    <t>FM17</t>
  </si>
  <si>
    <t>HP/IP feedwater discharge MOV stuck at open position during FWP startup</t>
  </si>
  <si>
    <t>1st scenario:
If MOV does not receive close feedback, the permissive startup for pump is not available. Standby pump will cut in. No direct impact to operation.
Duration for repair:
MOV calibration 0.5 day.
Card replacement 0.5 day.
2nd scenario:
If MOV stuck at open position, feedback trouble indication will trigger at DCS. Permissive startup for pump will not available and standby pump will cut in. No direct impact to operation.
Duration for repair:
Spare is available.  Valve servicing duration is 2 days.
Spare not available. Delivery lead time is 6 months.</t>
  </si>
  <si>
    <t>Conduct stroke test before FWP startup</t>
  </si>
  <si>
    <t>NPRIOPER</t>
  </si>
  <si>
    <t>LAB/10/20/30/AA001/002</t>
  </si>
  <si>
    <t>FM18</t>
  </si>
  <si>
    <t>Feedwater pump shaft bend/fatigue</t>
  </si>
  <si>
    <t>In the event, H-H alarm vibration will trigger at 100-micron. FWP will trip and standby pump will cut in. No direct impact to operation.
Duration for repair: 
Spare available. Feedwater pump overhaul 30 days.
Spare not available. The delivery lead time is 7 months (including overhaul).</t>
  </si>
  <si>
    <t>FM19</t>
  </si>
  <si>
    <t>Feedwater pump bearing jammed</t>
  </si>
  <si>
    <t>In the event, temperature and vibration of pump will increase. H-H vibration alarm will trigger at 100-micron, pump will trip and standby pump will cut in. No direct impact to operation. 
Duration for repair: 
Spare available. Feedwater pump overhaul 30 days.
Spare not available. The delivery lead time is 7 months (including overhaul).</t>
  </si>
  <si>
    <t>FM20</t>
  </si>
  <si>
    <t>Feedwater pump &amp; motor shaft misalignment</t>
  </si>
  <si>
    <t>In the event, vibration of pump will increase. H-H vibration alarm will trigger at 100-micron, pump will trip and standby pump will cut in. No direct impact to operation. 
Duration for repair: 
Shaft alignment duration 5 days.</t>
  </si>
  <si>
    <t>Unable to supply feedwater above TDH 2010m.</t>
  </si>
  <si>
    <t>ARCV passing at minimum flow line</t>
  </si>
  <si>
    <t>In the event, flowrate of feedwater will drop below 28.1kg/s. L-L flowrate alarm will trigger at DCS. Lag pump will cut in to achieve the desired flow. If the desired flowrate is still not achieved, standby pump will also cut in. No direct impact to operation.
Duration for replacement:
Spare available. Valve replacement 4 days.
Spare not available. The delivery lead time is 4 months.</t>
  </si>
  <si>
    <t>NRV at IP discharge line passing</t>
  </si>
  <si>
    <t>In the event, flowrate of feedwater will drop below 28.1kg/s. L-L flowrate alarm will trigger at DCS. Lag pump will cut in to achieve the desired flow. If the desired flowrate is still not achieved, standby pump will also cut in. No direct impact to operation.
Duration for replacement:
Spare available. Valve replacement 3 days.
Spare not available. The delivery lead time is 3 months.</t>
  </si>
  <si>
    <t>LAB/10/20/30/AA202</t>
  </si>
  <si>
    <t>Inlet suction strainer for FWP partially choked</t>
  </si>
  <si>
    <t xml:space="preserve">In the event, FWP will still running but dP will increase. High dP alarm will trigger at 0.3 barg and OPER will manually intervene to changeover to standby pump. No direct impact to Operation.
Duration for cleaning: 1 day
</t>
  </si>
  <si>
    <t>Manual valve (vent &amp; drain) passing severely</t>
  </si>
  <si>
    <t>If manual valve passing, desired flowrate of feedwater at 28.1kg/s is not achievable.  L-L flowrate alarm will trigger at DCS. Lag pump will cut in to achieve the desired flow. If the desired flowrate is still not achieved, standby pump will also cut in. No direct impact to operation.
Duration for replacement:
Spare available. Valve replacement 1 day.
Spare not available. The delivery lead time is 3 months.</t>
  </si>
  <si>
    <t>Feedwater pump impeller wear</t>
  </si>
  <si>
    <t>In the event, flowrate of feedwater will drop below 28.1kg/s. L-L flowrate alarm will trigger at DCS. Lag pump will cut in to achieve the desired flow. If the desired flowrate is still not achieved, standby pump will also cut in. No direct impact to operation.
Duration for replacement:
Spare available. Pump overhaul 30 days.
Spare not available. The delivery lead time is 6 months.</t>
  </si>
  <si>
    <t>Feedwater pump wearing excessive clearance</t>
  </si>
  <si>
    <t>Feedwater pump mech seal severe leak</t>
  </si>
  <si>
    <t>In the event, flowrate of feedwater will drop below 28.1kg/s. L-L flowrate alarm will trigger at DCS. Lag pump will cut in to achieve the desired flow. If the desired flowrate is still not achieved, standby pump will also cut in. No direct impact to operation.
Duration for replacement:
Spare available. Pump inspection and mechanical seal replacement 10 days.
Spare not available. The delivery lead time is 3 months.</t>
  </si>
  <si>
    <t>To release the pressure at suction line at 34bar.</t>
  </si>
  <si>
    <t>Unable to release pressure at all</t>
  </si>
  <si>
    <t>PSV stuck at close</t>
  </si>
  <si>
    <t xml:space="preserve">In the event, safety valve at FWP suction unable to release pressure over 34 barg. If this occurs, the suction line will become over-pressure and operation will observe H/HH alarms for FWP vibration and leakage at FWP strainers. Manual intervene by OPER by change-over to standby pump. There is no direct impact to plant operation.
Duration for replacement: 
Spare available. Replacement of PSV required 1 day.
Spare not available. Servicing and calibration PSV lead time is 1 week.
</t>
  </si>
  <si>
    <t>H(Y) =&gt; S(N) =&gt; E(N) =&gt; O(N) =&gt; N1(N) =&gt; N2(N) =&gt; O(N) =&gt; N3(N) =&gt; NSM</t>
  </si>
  <si>
    <t>LAB/10/20/30/AA801</t>
  </si>
  <si>
    <t>Able to release pressure prematurely</t>
  </si>
  <si>
    <t>PSV spring broken</t>
  </si>
  <si>
    <t>In the event, safety valve at FWP suction unable to maintain pressure at 34 barg. If this occurs, the suction line pressure will drop and operation will observe L/LL flow alarm for discharge flow rate below 28.1kg/s and H/HH vibration alarm at FWP. will be triggered. Manual Intervene by operation by change-over to standby pump. There is no direct impact to plant operation
Duration for replacement: 
Spare available. Replacement of PSV required 1 day.
Spare not available. Servicing and calibration PSV lead time is 1 week.</t>
  </si>
  <si>
    <t>Able to release pressure late</t>
  </si>
  <si>
    <t>PSV seat damaged</t>
  </si>
  <si>
    <t>In the event, safety valve at FWP suction unable to release pressure over 34 barg. If this occurs, the suction line will become over-pressure and operation will observe H/HH alarms for FWP vibration and leakage at FWP strainers. Manual Intervene by operation by change-over to standby pump. There is no direct impact to plant operation,
Duration for replacement: 
Spare available. Replacement of PSV required 1 day.
Spare not available. Servicing and calibration PSV lead time is 1 week.</t>
  </si>
  <si>
    <t>To cut in standby feedwater pump when total differential head is below 1960m.</t>
  </si>
  <si>
    <t>Unable to cut in at all</t>
  </si>
  <si>
    <t xml:space="preserve">When standby pump cut in but flow of feedwater still below 28.1 kg/s due to the ARCV stuck, all 3 FWPs will trip. This will cause the HRSG unable to maintain operation and trip. GT will also trip due HRSG trip protection. 
Total downtime: 5 days
</t>
  </si>
  <si>
    <t>When standby pump cut in but flow of feedwater still below 28.1 kg/s due to the ARCV control block malfunction. All 3 FWPs will trip. This will cause the HRSG unable to maintain operation and trip. GT will also trip due HRSG trip protection. 
Total downtime: 3 days</t>
  </si>
  <si>
    <t xml:space="preserve">When standby pump cut in but flow of feedwater still below 28.1 kg/s due to hose snap, all 3 FWPs will trip. This will cause the HRSG unable to maintain operation and trip. GT will also trip due HRSG trip protection. 
Total downtime: 3 days
</t>
  </si>
  <si>
    <t>When standby pump cut in, dP H-H alarm will trigger at 0.6 barg due to inlet suction strainer choked. All 3 FWPs will trip. This will cause the HRSG unable to maintain operation and trip. GT will also trip due HRSG trip protection. 
Total downtime: 3 days</t>
  </si>
  <si>
    <t>Reverse rotation sensor motor activated</t>
  </si>
  <si>
    <t>In the event, standby FWP will not cut in due to protection. This will cause the HRSG unable to maintain operation and trip. GT will also trip due HRSG trip protection. 
Total downtime: 4 days for ARCV or IP discharge NRV inspection/replacement</t>
  </si>
  <si>
    <t>In the event, high vibration will pickup. Motor amp will increase and FWP will trip on high vibration or high amp. This will cause the HRSG unable to maintain operation and trip. GT will also trip due HRSG trip protection. 
Total downtime: 3 weeks for motor overhaul</t>
  </si>
  <si>
    <t>Motor winding temperature sensor drifted high high</t>
  </si>
  <si>
    <t>In the event, standby FWP will not cut in or tripped due to protection. This will cause the HRSG unable to maintain operation and trip. GT will also trip due HRSG trip protection. 
Total downtime: 1 day for swapped cable to spare sensor. To consider rewinding the motor during planned outage.</t>
  </si>
  <si>
    <t>In the event, motor vibration will increase and motor amp will decrease. Feedwater flow will also decrease. H-H vibration alarm will trigger at 121-micron. This will cause the HRSG unable to maintain operation and trip. GT will also trip due HRSG trip protection. 
Duration for repair: 
Spare available. Duration for coupling replacement is 7 days.
Spare not available. Delivery lead time and replacement duration is 6 months.</t>
  </si>
  <si>
    <t>When standby pump cut in, motor Amp will overload and trip the motor due to impeller seized. Flow of feedwater will have a sudden drop. All 3 FWPs will trip. This will cause the HRSG unable to maintain operation and trip. GT will also trip due HRSG trip protection. 
Total downtime: 30 days</t>
  </si>
  <si>
    <t xml:space="preserve">When standby pump cut in, temperature and vibration of pump will increase. H-H vibration alarm will trigger at 100-micron. All 3 FWPs will trip. This will cause the HRSG unable to maintain operation and trip. GT will also trip due HRSG trip protection. 
Total downtime: 30 days </t>
  </si>
  <si>
    <t>When standby pump cut in, flow of feedwater will decrease, and L-L TDH alarm will be triggered if below than 1960m. All 3 FWPs will trip. This will cause the HRSG unable to maintain operation and trip. GT will also trip due HRSG trip protection. 
Total downtime: 30 days</t>
  </si>
  <si>
    <t>When standby pump cut in, H-H alarm vibration will trigger at 100-micron. All 3 FWPs will trip. This will cause the HRSG unable to maintain operation and trip. GT will also trip due HRSG trip protection. 
Total downtime: 30 days</t>
  </si>
  <si>
    <t>FM13</t>
  </si>
  <si>
    <t>When standby pump cut in, temperature and vibration of pump will increase. H-H vibration alarm will trigger at 100-micron.  All 3 FWPs will trip. This will cause the HRSG unable to maintain operation and trip. GT will also trip due HRSG trip protection. 
Total downtime: 30 days</t>
  </si>
  <si>
    <t>FM14</t>
  </si>
  <si>
    <t>When standby pump cut in, vibration of pump will increase. H-H vibration alarm will trigger at 100-micron. All 3 FWPs will trip. This will cause the HRSG unable to maintain operation and trip. GT will also trip due HRSG trip protection. 
Total downtime: 30 days</t>
  </si>
  <si>
    <t>Able to cut in but below 1960m TDH</t>
  </si>
  <si>
    <t xml:space="preserve">When standby pump cut in, FWP will still running but flowrate will decrease gradually. L-L flow alarm will trigger at 28.1 kg/s and OPER will closely monitor on the flowrate trend. No direct impact to operation.
</t>
  </si>
  <si>
    <t xml:space="preserve">When standby pump cuti in, FWP will still running but dP will increase gradually. High dP alarm will trigger at 0.3 barg and OPER will closely monitor on the dP trend. No direct impact to operation.
</t>
  </si>
  <si>
    <t>When standby pump cut in, FWP will still running but flowrate will decrease gradually. L-L flow alarm will trigger at 28.1 kg/s and OPER will closely monitor on the flowrate trend. No direct impact to operation.</t>
  </si>
  <si>
    <t>To provide continuous lubrication to feedwater pump and motor bearing at the pressure range of 1-3  barg</t>
  </si>
  <si>
    <t>Unable to lubricate at all</t>
  </si>
  <si>
    <t>Motor for AOP winding short</t>
  </si>
  <si>
    <t>In the event, fault status for AOP will trigger at DCS. Lube oil will not be distributed to bearings and permissive start for FWP is unavailable. OPER will intervene manually to start other FWP. No direct impact to operation.
Duration for replacement:
Spare available. 2 day
Spare not available. 5 days for motor rewinding</t>
  </si>
  <si>
    <t>Conduct thermography analysis</t>
  </si>
  <si>
    <t>LAC10/20/30/AP003</t>
  </si>
  <si>
    <t>Motor for AOP power supply loss</t>
  </si>
  <si>
    <t>In the event, fault status for AOP will trigger at DCS. Lube oil will not be distributed to bearings and permissive start for FWP is unavailable. OPER will intervene manually to start other FWP. No direct impact to operation.
Total downtime: 1 day for spare breaker swap</t>
  </si>
  <si>
    <t>Motor for AOP bearing jammed</t>
  </si>
  <si>
    <t>In the event, motor will trigger high amp &amp; fault status for AOP will trigger at DCS. Lube oil will not be distributed to bearings and permissive start for FWP is unavailable. OPER will intervene manually to start other FWP. No direct impact to operation.
Duration for repair: 3 days for motor overhaul.</t>
  </si>
  <si>
    <t>Motor for AOP coupling snapped</t>
  </si>
  <si>
    <t>In the event, lube oil will not be distributed to bearings and permissive start for FWP is unavailable. OPER will intervene manually to start other FWP. No direct impact to operation.
Duration for repair:
Spare available: 1 day
Spare not available: 2 days</t>
  </si>
  <si>
    <t>Gear pump for AOP jammed</t>
  </si>
  <si>
    <t>In the event, fault status for AOP will trigger at DCS. Lube oil will not be distributed to bearings and permissive start for FWP is unavailable. OPER will intervene manually to start other FWP. No direct impact to operation.
Duration for replacement:
Spare available. 1 day
Spare not available. Delivery lead time is 3 months.</t>
  </si>
  <si>
    <t>Gear pump bearing for AOP jammed</t>
  </si>
  <si>
    <t>In the event, fault status for AOP will trigger at DCS. Lube oil will not be distributed to bearings and permissive start for FWP is unavailable. OPER will intervene manually to start other FWP. No direct impact to operation.
Duration for replacement:
Spare available. 1 day
Spare not available. Delivery lead time is 1 month.</t>
  </si>
  <si>
    <t>Oil pump suction filter fully choked</t>
  </si>
  <si>
    <t>In the event, lube oil discharge pressure will drop and trigger L-L alarm below 1 barg and trip the AOP. Lube oil will not be distributed to bearings and permissive start for FWP is unavailable. OPER will intervene manually to start other FWP. No direct impact to operation.
Cleaning duration: 3 days</t>
  </si>
  <si>
    <t>Clean the filter</t>
  </si>
  <si>
    <t>2Y</t>
  </si>
  <si>
    <t>LAC/10/20/30/BB001</t>
  </si>
  <si>
    <t>NRV for AOP stuck at close position</t>
  </si>
  <si>
    <t>In the event, lube oil discharge pressure will drop and trigger L-L alarm at XX barg and trip the AOP. Lube oil will not be distributed to bearings and permissive start for FWP is unavailable. OPER will intervene manually to start other FWP. No direct impact to operation.
Replacement duration:
Spare available. 1 day
Spare not available. 3 months</t>
  </si>
  <si>
    <t>LAC/10/20/30/AA009</t>
  </si>
  <si>
    <t>Duplex oil filter fully choked</t>
  </si>
  <si>
    <t>In the event, lube oil discharge pressure will increase and trigger H-H alarm above 3 barg and trip the AOP. Lube oil will not be distributed to bearings and permissive start for FWP is unavailable. OPER will intervene manually to start other FWP. No direct impact to operation.
Cleaning duration: 1 days</t>
  </si>
  <si>
    <t>Clean the duplex filter</t>
  </si>
  <si>
    <t>LAC15/25/35/AT001/002</t>
  </si>
  <si>
    <t>Gear pump key for MOP dislodged</t>
  </si>
  <si>
    <t>In the event, H-H vibration alarm will trigger at 100-micron and FWP will trip. AOP will cut in to maintain lube oil pressure at 1-3 barg. Standby FWP will also cut in to maintain TDH level. No direct impact to operation. 
Replacement duration:
Spare available. 7 days.
Spare not available. 6 months.</t>
  </si>
  <si>
    <t>LAC10/20/30AP002</t>
  </si>
  <si>
    <t>Pressure switch for AOP drifted high</t>
  </si>
  <si>
    <t>In the event, permissive start for FWP is unavailable. OPER will intervene manually to start other FWP. No direct impact to operation.
Duration for repair:
Spare available: 1 day for sensor calibration
Spare not available: 3 months</t>
  </si>
  <si>
    <t>Recalibrate the PS</t>
  </si>
  <si>
    <t>LAC10/20/30CP001/002/003/004</t>
  </si>
  <si>
    <t>Able to lubricate but below 1 barg</t>
  </si>
  <si>
    <t>Gear pump for AOP worn out</t>
  </si>
  <si>
    <t>In the event, lube oil pressure will drop gradually. Eventually when pressure drop below 1 barg, L-L pressure alarm will trigger and AOP will trip. Lube oil will not be distributed to bearings and permissive start for FWP is unavailable. OPER will intervene manually to start other FWP. No direct impact to operation.
Duration for replacement:
Spare available. 1 day
Spare not available. Delivery lead time is 3 months.</t>
  </si>
  <si>
    <t>Ensure spare is availble</t>
  </si>
  <si>
    <t>Gear pump for MOP worn out</t>
  </si>
  <si>
    <t>In the event, lube oil pressure will drop gradually. Eventually when pressure drop below 1 barg, L-L pressure alarm will trigger and AOP will cut in to maintain the pressure. No direct impact to operation
Replacement duration:
Spare available. 7 days.
Spare not available. 6 months.</t>
  </si>
  <si>
    <t>Oil pump suction filter partially choked</t>
  </si>
  <si>
    <t>In the event, lube oil pressure will drop gradually. OPER will intervene manually to changeover the standby FWP. No direct impact to operation.
Cleaning duration: 3 days</t>
  </si>
  <si>
    <t>Able to lubricate but above 3 barg</t>
  </si>
  <si>
    <t>In the event, no protection alarm will trigger at DCS. FWP will get permissive to start. There is no impact to the operation.</t>
  </si>
  <si>
    <t>Pressure Regulating Valve (PRV) spring stuck</t>
  </si>
  <si>
    <t>In the event, lube oil discharge pressure will increase. FWP still can run even though H alarm trigger above 3 barg. No direct impact to operation.
Replacement duration:
Spare available. 1 day.
Spare not available. 3 months.</t>
  </si>
  <si>
    <t>LAC10/20/30AA104</t>
  </si>
  <si>
    <t>In the event, lube oil pressure will increase gradually. OPER will intervene manually to changeover the standby duplex filter. No direct impact to operation.
Cleaning duration: 1 days</t>
  </si>
  <si>
    <t>Pressure Relief Valve (PRV) for AOP loaded spring failure</t>
  </si>
  <si>
    <t>In the event, lube oil discharge pressure will increase. FWP still can run even though H alarm trigger above 3 barg. No direct impact to operation.
Replacement duration:
Spare available. 1 day.
Spare not available. 1 months.</t>
  </si>
  <si>
    <t>LAC10/20/30AA103</t>
  </si>
  <si>
    <t>Pressure Reducing Valve passing</t>
  </si>
  <si>
    <t>LAC10/20/30AA106</t>
  </si>
  <si>
    <t>To maintain temperature below 95 deg C for sleeve bearings</t>
  </si>
  <si>
    <t>Unable to maintain temperature at all</t>
  </si>
  <si>
    <t>Lube oil cooler fully choked</t>
  </si>
  <si>
    <t>In the event, lube oil temperature will increase. H-H temperature alarm for bearing temperature will trigger at 95 deg C. FWP will trip and standby FWP will cut in to maintain TDH level. No direct impact to operation.
Cleaning duration: 14 days</t>
  </si>
  <si>
    <t>H(Y) =&gt; S(N) =&gt; E(N) =&gt; O(N) =&gt; N1(N) =&gt; N2(N) =&gt; N1(N) =&gt; N2(N) =&gt; N3(N) =&gt; NSM</t>
  </si>
  <si>
    <t>LAC10/20/30AC051</t>
  </si>
  <si>
    <t>Lube oil cooler tubes leak</t>
  </si>
  <si>
    <t>In the event, lube oil temperature will increase. H-H temperature alarm for bearing temperature will trigger at 95 deg C. FWP will trip and standby FWP will cut in to maintain TDH level. No direct impact to operation.
Replacement duration: Spare available. 2 days.
Repair duration: Spare not available. 14 days.</t>
  </si>
  <si>
    <t>Lube oil cooler flange leak</t>
  </si>
  <si>
    <t>In the event, lube oil temperature will increase. H-H temperature alarm for bearing temperature will trigger at 95 deg C. FWP will trip and standby FWP will cut in to maintain TDH level. No direct impact to operation.
Replacement duration: 
Spare available. 2 days.
Spare not available. 7 days.</t>
  </si>
  <si>
    <t>To cool down mechanical seal sealing water to 53 deg C</t>
  </si>
  <si>
    <t>Mech seal cooler fully choked</t>
  </si>
  <si>
    <t xml:space="preserve">In the event, sealing water temperature will increase and eventually mechanical seal will damage. FWP flow will drop and L-L alarm will trigger at 28.1 kg/s. FWP will trip and standby FWP will cut in. No direct impact to operation.
Replacement duration:
Spare available. 14 days.
Spare not available. 6 months </t>
  </si>
  <si>
    <t>LAC10/20/30AC052/053</t>
  </si>
  <si>
    <t>Mech seal cooler tubes leak</t>
  </si>
  <si>
    <t>Mech seal cooler leak</t>
  </si>
  <si>
    <t xml:space="preserve">ARCV stuck - Ensure spare is available. </t>
  </si>
  <si>
    <t xml:space="preserve">ARCV control block malfunction - Ensure spare is available. </t>
  </si>
  <si>
    <t>F01/FF01/FM03</t>
  </si>
  <si>
    <t xml:space="preserve">ARCV hydraulic hose snap - Ensure spare is available. </t>
  </si>
  <si>
    <t>F01/FF01/FM04</t>
  </si>
  <si>
    <t>Inlet suction strainer choked - Clean the strainer.</t>
  </si>
  <si>
    <t>F01/FF01/FM05</t>
  </si>
  <si>
    <t>Reverse rotation sensor motor faulty - Ensure spare available</t>
  </si>
  <si>
    <t>F01/FF01/FM06</t>
  </si>
  <si>
    <t>Motor bearing jammed - Conduct vibration analysis</t>
  </si>
  <si>
    <t>F01/FF01/FM07</t>
  </si>
  <si>
    <t>Motor winding temperature sensor drifted high - To swap with existing spare sensor at motor winding</t>
  </si>
  <si>
    <t>F01/FF01/FM10</t>
  </si>
  <si>
    <t>Motor coupling snap - Conduct vibration analysis</t>
  </si>
  <si>
    <t>F01/FF01/FM11</t>
  </si>
  <si>
    <t>Feedwater pump impeller seized - Ensure spare is available</t>
  </si>
  <si>
    <t>F01/FF01/FM12</t>
  </si>
  <si>
    <t>Feedwater pump sleeve bearing jammed - Conduct vibration analysis. 
Conduct pump overhaul when abnormalities found or more than 8 years.</t>
  </si>
  <si>
    <t>F01/FF01/FM16</t>
  </si>
  <si>
    <t>Any flange/pipe for FWP severe leaking/damage - Ensure spare is available</t>
  </si>
  <si>
    <t>F01/FF01/FM17</t>
  </si>
  <si>
    <t>HP/IP feedwater discharge MOV stuck at open position during FWP startup - Conduct stroke test before FWP startup</t>
  </si>
  <si>
    <t>F01/FF01/FM18</t>
  </si>
  <si>
    <t>Feedwater pump shaft bend/fatigue - Conduct vibration analysis. 
Conduct pump overhaul when abnormalities found or more than 8 years.</t>
  </si>
  <si>
    <t>F01/FF01/FM19</t>
  </si>
  <si>
    <t>Feedwater pump bearing jammed - Conduct vibration analysis. 
Conduct pump overhaul when abnormalities found or more than 8 years.</t>
  </si>
  <si>
    <t>F01/FF01/FM20</t>
  </si>
  <si>
    <t>Feedwater pump &amp; motor shaft misalignment - Conduct vibration analysis. 
Conduct pump overhaul when abnormalities found or more than 8 years.</t>
  </si>
  <si>
    <t>ARCV passing at minimum flow line - Ensure spare is available</t>
  </si>
  <si>
    <t>NRV at IP discharge line passing - Ensure spare is available</t>
  </si>
  <si>
    <t>F01/FF02/FM03</t>
  </si>
  <si>
    <t>Inlet suction strainer for FWP partially choked - Clean the strainer.</t>
  </si>
  <si>
    <t>F01/FF02/FM04</t>
  </si>
  <si>
    <t>Manual valve (vent &amp; drain) passing severely - Ensure spare is available</t>
  </si>
  <si>
    <t>F01/FF02/FM05</t>
  </si>
  <si>
    <t>Feedwater pump impeller wear - Ensure spare is available</t>
  </si>
  <si>
    <t>F01/FF02/FM06</t>
  </si>
  <si>
    <t>Feedwater pump wearing excessive clearance - Ensure spare is available</t>
  </si>
  <si>
    <t>F01/FF02/FM07</t>
  </si>
  <si>
    <t>Feedwater pump mech seal severe leak - Ensure spare is available</t>
  </si>
  <si>
    <t>PSV stuck at close - Ensure spare is available</t>
  </si>
  <si>
    <t>F02/FF02/FM01</t>
  </si>
  <si>
    <t>PSV spring broken - Ensure spare is available</t>
  </si>
  <si>
    <t>F02/FF03/FM01</t>
  </si>
  <si>
    <t>PSV seat damaged - Ensure spare is available</t>
  </si>
  <si>
    <t>F04/FF01/FM04</t>
  </si>
  <si>
    <t>F04/FF01/FM05</t>
  </si>
  <si>
    <t>Reverse rotation sensor motor activated - Ensure spare available</t>
  </si>
  <si>
    <t>F04/FF01/FM06</t>
  </si>
  <si>
    <t>F04/FF01/FM07</t>
  </si>
  <si>
    <t>Motor winding temperature sensor drifted high high - To swap with existing spare sensor at motor winding</t>
  </si>
  <si>
    <t>F04/FF01/FM08</t>
  </si>
  <si>
    <t>F04/FF01/FM09</t>
  </si>
  <si>
    <t>F04/FF01/FM10</t>
  </si>
  <si>
    <t>F04/FF01/FM11</t>
  </si>
  <si>
    <t>F04/FF01/FM12</t>
  </si>
  <si>
    <t>F04/FF01/FM13</t>
  </si>
  <si>
    <t>F04/FF01/FM14</t>
  </si>
  <si>
    <t>F04/FF02/FM04</t>
  </si>
  <si>
    <t>F04/FF02/FM05</t>
  </si>
  <si>
    <t>F04/FF02/FM06</t>
  </si>
  <si>
    <t>F04/FF02/FM07</t>
  </si>
  <si>
    <t>Motor for AOP winding short - Conduct thermography analysis</t>
  </si>
  <si>
    <t>Motor for AOP power supply loss - n/a</t>
  </si>
  <si>
    <t>Motor for AOP bearing jammed - Conduct vibration analysis</t>
  </si>
  <si>
    <t>Motor for AOP coupling snapped - Conduct vibration analysis</t>
  </si>
  <si>
    <t>Gear pump for AOP jammed - Ensure spare is available</t>
  </si>
  <si>
    <t>Gear pump bearing for AOP jammed - Ensure spare is available</t>
  </si>
  <si>
    <t>Oil pump suction filter fully choked - Clean the filter</t>
  </si>
  <si>
    <t>F05/FF01/FM08</t>
  </si>
  <si>
    <t>NRV for AOP stuck at close position - Ensure spare is available</t>
  </si>
  <si>
    <t>F05/FF01/FM09</t>
  </si>
  <si>
    <t>Duplex oil filter fully choked - Clean the duplex filter</t>
  </si>
  <si>
    <t>F05/FF01/FM10</t>
  </si>
  <si>
    <t>Gear pump key for MOP dislodged - Ensure spare is available</t>
  </si>
  <si>
    <t>F05/FF01/FM11</t>
  </si>
  <si>
    <t>Pressure switch for AOP drifted high - Recalibrate the PS</t>
  </si>
  <si>
    <t>F05/FF02/FM01</t>
  </si>
  <si>
    <t>Gear pump for AOP worn out - Ensure spare is availble</t>
  </si>
  <si>
    <t>F05/FF02/FM02</t>
  </si>
  <si>
    <t>Gear pump for MOP worn out - Ensure spare is available</t>
  </si>
  <si>
    <t>F05/FF02/FM03</t>
  </si>
  <si>
    <t>Oil pump suction filter partially choked - Clean the filter</t>
  </si>
  <si>
    <t>F05/FF03/FM01</t>
  </si>
  <si>
    <t>F05/FF03/FM02</t>
  </si>
  <si>
    <t>Pressure Regulating Valve (PRV) spring stuck - Ensure spare is available</t>
  </si>
  <si>
    <t>F05/FF03/FM03</t>
  </si>
  <si>
    <t>F05/FF03/FM04</t>
  </si>
  <si>
    <t>Pressure Relief Valve (PRV) for AOP loaded spring failure - Ensure spare is available</t>
  </si>
  <si>
    <t>F05/FF03/FM05</t>
  </si>
  <si>
    <t>Pressure Reducing Valve passing - Ensure spare is available</t>
  </si>
  <si>
    <t>Lube oil cooler fully choked - Ensure spare is available</t>
  </si>
  <si>
    <t>Lube oil cooler tubes leak - Ensure spare is available</t>
  </si>
  <si>
    <t>Lube oil cooler flange leak - Ensure spare is available</t>
  </si>
  <si>
    <t>Mech seal cooler fully choked - Ensure spare is available</t>
  </si>
  <si>
    <t>Mech seal cooler tubes leak - Ensure spare is available</t>
  </si>
  <si>
    <t>Mech seal cooler leak - Ensure spare is available</t>
  </si>
  <si>
    <t xml:space="preserve"> Feed Water Pump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</si>
</sst>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_);_(* \(#,##0\);_(* &quot;-&quot;_);_(@_)"/>
  </numFmts>
  <fonts count="13" x14ac:knownFonts="1">
    <font>
      <sz val="11"/>
      <color theme="1"/>
      <name val="Aptos Narrow"/>
      <family val="2"/>
      <scheme val="minor"/>
    </font>
    <font>
      <sz val="11"/>
      <name val="Calibri"/>
      <family val="2"/>
    </font>
    <font>
      <sz val="8"/>
      <name val="Aptos Narrow"/>
      <family val="2"/>
      <scheme val="minor"/>
    </font>
    <font>
      <b/>
      <sz val="11"/>
      <color theme="1"/>
      <name val="Calibri"/>
      <family val="2"/>
    </font>
    <font>
      <sz val="11"/>
      <color rgb="FFFF0000"/>
      <name val="Aptos Narrow"/>
      <family val="2"/>
      <scheme val="minor"/>
    </font>
    <font>
      <sz val="11"/>
      <name val="Calibri"/>
      <family val="2"/>
    </font>
    <font>
      <sz val="11"/>
      <color theme="1"/>
      <name val="Aptos Narrow"/>
      <family val="2"/>
      <scheme val="minor"/>
    </font>
    <font>
      <sz val="11"/>
      <color theme="0"/>
      <name val="Aptos Narrow"/>
      <family val="2"/>
      <scheme val="minor"/>
    </font>
    <font>
      <b/>
      <sz val="11"/>
      <color theme="0"/>
      <name val="Calibri"/>
      <family val="2"/>
    </font>
    <font>
      <sz val="11"/>
      <color theme="1"/>
      <name val="Calibri"/>
      <family val="2"/>
    </font>
    <font>
      <b/>
      <sz val="14"/>
      <color theme="1"/>
      <name val="Calibri"/>
      <family val="2"/>
    </font>
    <font>
      <b/>
      <sz val="12"/>
      <color theme="1"/>
      <name val="Aptos Narrow"/>
      <family val="2"/>
      <scheme val="minor"/>
    </font>
    <font>
      <i/>
      <sz val="14"/>
      <color theme="1"/>
      <name val="Calibri"/>
      <family val="2"/>
    </font>
  </fonts>
  <fills count="9">
    <fill>
      <patternFill patternType="none"/>
    </fill>
    <fill>
      <patternFill patternType="gray125"/>
    </fill>
    <fill>
      <patternFill patternType="solid">
        <fgColor theme="4"/>
        <bgColor theme="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9" tint="0.79998168889431442"/>
        <bgColor theme="9" tint="0.79998168889431442"/>
      </patternFill>
    </fill>
    <fill>
      <patternFill patternType="solid">
        <fgColor theme="4"/>
        <bgColor indexed="64"/>
      </patternFill>
    </fill>
  </fills>
  <borders count="14">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auto="1"/>
      </left>
      <right style="thin">
        <color indexed="64"/>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theme="9" tint="0.39997558519241921"/>
      </top>
      <bottom style="thin">
        <color theme="9" tint="0.39997558519241921"/>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s>
  <cellStyleXfs count="4">
    <xf numFmtId="0" fontId="0" fillId="0" borderId="0"/>
    <xf numFmtId="0" fontId="1" fillId="0" borderId="0"/>
    <xf numFmtId="0" fontId="5" fillId="0" borderId="0"/>
    <xf numFmtId="0" fontId="9" fillId="0" borderId="0"/>
  </cellStyleXfs>
  <cellXfs count="49">
    <xf numFmtId="0" fontId="0" fillId="0" borderId="0" xfId="0"/>
    <xf numFmtId="0" fontId="3" fillId="3" borderId="4" xfId="0" applyFont="1" applyFill="1" applyBorder="1" applyAlignment="1">
      <alignment horizontal="center" vertical="center"/>
    </xf>
    <xf numFmtId="0" fontId="0" fillId="0" borderId="4" xfId="0" applyBorder="1"/>
    <xf numFmtId="164" fontId="0" fillId="0" borderId="4" xfId="0" applyNumberFormat="1" applyBorder="1"/>
    <xf numFmtId="164" fontId="0" fillId="0" borderId="0" xfId="0" applyNumberFormat="1"/>
    <xf numFmtId="0" fontId="3" fillId="4" borderId="4" xfId="0" applyFont="1" applyFill="1" applyBorder="1" applyAlignment="1">
      <alignment wrapText="1"/>
    </xf>
    <xf numFmtId="0" fontId="0" fillId="0" borderId="4" xfId="0" applyBorder="1" applyAlignment="1">
      <alignment wrapText="1"/>
    </xf>
    <xf numFmtId="0" fontId="0" fillId="0" borderId="0" xfId="0" applyAlignment="1">
      <alignment wrapText="1"/>
    </xf>
    <xf numFmtId="0" fontId="0" fillId="6" borderId="0" xfId="0" applyFill="1"/>
    <xf numFmtId="0" fontId="1" fillId="0" borderId="0" xfId="1"/>
    <xf numFmtId="0" fontId="0" fillId="0" borderId="9" xfId="0" applyBorder="1"/>
    <xf numFmtId="0" fontId="8" fillId="2" borderId="1" xfId="1" applyFont="1" applyFill="1" applyBorder="1"/>
    <xf numFmtId="0" fontId="8" fillId="2" borderId="2" xfId="1" applyFont="1" applyFill="1" applyBorder="1"/>
    <xf numFmtId="0" fontId="8" fillId="2" borderId="3" xfId="1" applyFont="1" applyFill="1" applyBorder="1"/>
    <xf numFmtId="0" fontId="7" fillId="0" borderId="0" xfId="0" applyFont="1"/>
    <xf numFmtId="0" fontId="4" fillId="0" borderId="0" xfId="0" applyFont="1"/>
    <xf numFmtId="0" fontId="8" fillId="2" borderId="2" xfId="1" applyFont="1" applyFill="1" applyBorder="1" applyAlignment="1">
      <alignment wrapText="1"/>
    </xf>
    <xf numFmtId="0" fontId="9" fillId="8" borderId="8" xfId="3" applyFill="1" applyBorder="1"/>
    <xf numFmtId="0" fontId="9" fillId="0" borderId="0" xfId="3"/>
    <xf numFmtId="0" fontId="9" fillId="0" borderId="0" xfId="3" applyAlignment="1">
      <alignment vertical="top"/>
    </xf>
    <xf numFmtId="0" fontId="9" fillId="8" borderId="13" xfId="3" applyFill="1" applyBorder="1"/>
    <xf numFmtId="0" fontId="11" fillId="0" borderId="5" xfId="3" applyFont="1" applyBorder="1" applyAlignment="1">
      <alignment vertical="top"/>
    </xf>
    <xf numFmtId="0" fontId="11" fillId="0" borderId="7" xfId="3" applyFont="1" applyBorder="1" applyAlignment="1">
      <alignment vertical="top"/>
    </xf>
    <xf numFmtId="0" fontId="11" fillId="0" borderId="6" xfId="3" applyFont="1" applyBorder="1" applyAlignment="1">
      <alignment vertical="top"/>
    </xf>
    <xf numFmtId="0" fontId="11" fillId="0" borderId="5" xfId="3" applyFont="1" applyBorder="1"/>
    <xf numFmtId="0" fontId="6" fillId="0" borderId="5" xfId="3" applyFont="1" applyBorder="1" applyAlignment="1">
      <alignment horizontal="center" vertical="top" wrapText="1"/>
    </xf>
    <xf numFmtId="0" fontId="6" fillId="0" borderId="5" xfId="3" quotePrefix="1" applyFont="1" applyBorder="1" applyAlignment="1">
      <alignment horizontal="center" vertical="top" wrapText="1"/>
    </xf>
    <xf numFmtId="0" fontId="6" fillId="0" borderId="5" xfId="3" quotePrefix="1" applyFont="1" applyBorder="1" applyAlignment="1">
      <alignment horizontal="left" vertical="top" wrapText="1"/>
    </xf>
    <xf numFmtId="0" fontId="6" fillId="0" borderId="7" xfId="3" quotePrefix="1" applyFont="1" applyBorder="1" applyAlignment="1">
      <alignment horizontal="center" vertical="top" wrapText="1"/>
    </xf>
    <xf numFmtId="0" fontId="6" fillId="8" borderId="13" xfId="3" quotePrefix="1" applyFont="1" applyFill="1" applyBorder="1" applyAlignment="1">
      <alignment horizontal="center" vertical="top" wrapText="1"/>
    </xf>
    <xf numFmtId="0" fontId="6" fillId="0" borderId="6" xfId="3" quotePrefix="1" applyFont="1" applyBorder="1" applyAlignment="1">
      <alignment horizontal="center" vertical="top" wrapText="1"/>
    </xf>
    <xf numFmtId="0" fontId="9" fillId="0" borderId="5" xfId="3" applyBorder="1" applyAlignment="1">
      <alignment vertical="top"/>
    </xf>
    <xf numFmtId="0" fontId="6" fillId="0" borderId="8" xfId="3" applyFont="1" applyBorder="1" applyAlignment="1">
      <alignment horizontal="center" vertical="top" wrapText="1"/>
    </xf>
    <xf numFmtId="0" fontId="6" fillId="0" borderId="8" xfId="3" quotePrefix="1" applyFont="1" applyBorder="1" applyAlignment="1">
      <alignment horizontal="center" vertical="top" wrapText="1"/>
    </xf>
    <xf numFmtId="0" fontId="6" fillId="0" borderId="8" xfId="3" quotePrefix="1" applyFont="1" applyBorder="1" applyAlignment="1">
      <alignment horizontal="left" vertical="top" wrapText="1"/>
    </xf>
    <xf numFmtId="0" fontId="6" fillId="0" borderId="11" xfId="3" quotePrefix="1" applyFont="1" applyBorder="1" applyAlignment="1">
      <alignment horizontal="center" vertical="top" wrapText="1"/>
    </xf>
    <xf numFmtId="0" fontId="6" fillId="0" borderId="12" xfId="3" applyFont="1" applyBorder="1" applyAlignment="1">
      <alignment horizontal="center" vertical="top" wrapText="1"/>
    </xf>
    <xf numFmtId="0" fontId="6" fillId="0" borderId="12" xfId="3" quotePrefix="1" applyFont="1" applyBorder="1" applyAlignment="1">
      <alignment horizontal="center" vertical="top" wrapText="1"/>
    </xf>
    <xf numFmtId="0" fontId="6" fillId="8" borderId="10" xfId="3" quotePrefix="1" applyFont="1" applyFill="1" applyBorder="1" applyAlignment="1">
      <alignment horizontal="center" vertical="top" wrapText="1"/>
    </xf>
    <xf numFmtId="0" fontId="6" fillId="0" borderId="0" xfId="3" applyFont="1" applyAlignment="1">
      <alignment horizontal="center" vertical="top" wrapText="1"/>
    </xf>
    <xf numFmtId="0" fontId="6" fillId="0" borderId="0" xfId="3" quotePrefix="1" applyFont="1" applyAlignment="1">
      <alignment horizontal="center" vertical="top" wrapText="1"/>
    </xf>
    <xf numFmtId="0" fontId="6" fillId="0" borderId="0" xfId="3" applyFont="1" applyAlignment="1">
      <alignment horizontal="center" vertical="top"/>
    </xf>
    <xf numFmtId="0" fontId="6" fillId="0" borderId="0" xfId="3" quotePrefix="1" applyFont="1" applyAlignment="1">
      <alignment horizontal="center" vertical="top"/>
    </xf>
    <xf numFmtId="0" fontId="6" fillId="0" borderId="0" xfId="3" quotePrefix="1" applyFont="1" applyAlignment="1">
      <alignment horizontal="left" vertical="top" wrapText="1"/>
    </xf>
    <xf numFmtId="0" fontId="9" fillId="0" borderId="0" xfId="3" applyAlignment="1">
      <alignment horizontal="left" vertical="top"/>
    </xf>
    <xf numFmtId="0" fontId="9" fillId="0" borderId="0" xfId="3" applyAlignment="1">
      <alignment vertical="top" wrapText="1"/>
    </xf>
    <xf numFmtId="0" fontId="0" fillId="7" borderId="9" xfId="0" applyFill="1" applyBorder="1"/>
    <xf numFmtId="0" fontId="10" fillId="5" borderId="0" xfId="3" applyFont="1" applyFill="1" applyAlignment="1">
      <alignment horizontal="center" vertical="top"/>
    </xf>
    <xf numFmtId="0" fontId="10" fillId="5" borderId="0" xfId="3" applyFont="1" applyFill="1" applyAlignment="1">
      <alignment horizontal="center"/>
    </xf>
  </cellXfs>
  <cellStyles count="4">
    <cellStyle name="Normal" xfId="0" builtinId="0"/>
    <cellStyle name="Normal 2" xfId="1" xr:uid="{24E166E1-368D-4D8F-9467-E2E03DD97D49}"/>
    <cellStyle name="Normal 3" xfId="2" xr:uid="{A928F5FB-C92B-4987-8E0E-7CAD177E323A}"/>
    <cellStyle name="Normal 4" xfId="3" xr:uid="{963A6F61-0289-4639-8D39-1D5AE5256AD7}"/>
  </cellStyles>
  <dxfs count="32">
    <dxf>
      <fill>
        <patternFill>
          <bgColor rgb="FFFFFF00"/>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val="0"/>
      </font>
      <fill>
        <patternFill>
          <bgColor rgb="FFFFFF00"/>
        </patternFill>
      </fill>
    </dxf>
    <dxf>
      <fill>
        <patternFill>
          <bgColor rgb="FFFFFF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Summary!$C$1</c:f>
          <c:strCache>
            <c:ptCount val="1"/>
            <c:pt idx="0">
              <c:v> Feed Water Pump</c:v>
            </c:pt>
          </c:strCache>
        </c:strRef>
      </c:tx>
      <c:layout>
        <c:manualLayout>
          <c:xMode val="edge"/>
          <c:yMode val="edge"/>
          <c:x val="0.29059199458474771"/>
          <c:y val="2.01531640467553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3888888888888888E-2"/>
          <c:y val="0.30134259259259266"/>
          <c:w val="0.96944444444444444"/>
          <c:h val="0.41335265383493719"/>
        </c:manualLayout>
      </c:layout>
      <c:pie3DChart>
        <c:varyColors val="1"/>
        <c:ser>
          <c:idx val="1"/>
          <c:order val="1"/>
          <c:tx>
            <c:strRef>
              <c:f>Summary!$D$3</c:f>
              <c:strCache>
                <c:ptCount val="1"/>
                <c:pt idx="0">
                  <c:v>Revised</c:v>
                </c:pt>
              </c:strCache>
            </c:strRef>
          </c:tx>
          <c:dPt>
            <c:idx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7A5B-4E1F-AAC2-0FC4EB8A99E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13C5-40D2-8FC3-615B14709314}"/>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7A5B-4E1F-AAC2-0FC4EB8A99EC}"/>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FDCA-41C7-B46A-8CD5B4C0AFF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5119-4268-B43E-8ACB8514EB05}"/>
              </c:ext>
            </c:extLst>
          </c:dPt>
          <c:dLbls>
            <c:dLbl>
              <c:idx val="1"/>
              <c:layout>
                <c:manualLayout>
                  <c:x val="2.1070375052675939E-2"/>
                  <c:y val="-3.2245062474808621E-2"/>
                </c:manualLayout>
              </c:layout>
              <c:dLblPos val="bestFi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3C5-40D2-8FC3-615B14709314}"/>
                </c:ext>
              </c:extLst>
            </c:dLbl>
            <c:dLbl>
              <c:idx val="2"/>
              <c:layout>
                <c:manualLayout>
                  <c:x val="-0.13274336283185842"/>
                  <c:y val="7.6582023377670297E-2"/>
                </c:manualLayout>
              </c:layout>
              <c:dLblPos val="bestFi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7-7A5B-4E1F-AAC2-0FC4EB8A99EC}"/>
                </c:ext>
              </c:extLst>
            </c:dLbl>
            <c:dLbl>
              <c:idx val="4"/>
              <c:layout>
                <c:manualLayout>
                  <c:x val="4.2140750105351685E-3"/>
                  <c:y val="2.4360535931790498E-2"/>
                </c:manualLayout>
              </c:layout>
              <c:dLblPos val="bestFi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119-4268-B43E-8ACB8514EB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Summary!$B$4:$B$19</c15:sqref>
                  </c15:fullRef>
                </c:ext>
              </c:extLst>
              <c:f>(Summary!$B$6:$B$8,Summary!$B$10,Summary!$B$14)</c:f>
              <c:strCache>
                <c:ptCount val="5"/>
                <c:pt idx="0">
                  <c:v>OC - On Condition Task</c:v>
                </c:pt>
                <c:pt idx="1">
                  <c:v>SR - Schedule Restoration</c:v>
                </c:pt>
                <c:pt idx="2">
                  <c:v>SD - Schedule Discard</c:v>
                </c:pt>
                <c:pt idx="3">
                  <c:v>NSM - No Schedule Maintenance</c:v>
                </c:pt>
                <c:pt idx="4">
                  <c:v>R - SPARE - Redesign - Spare Management</c:v>
                </c:pt>
              </c:strCache>
            </c:strRef>
          </c:cat>
          <c:val>
            <c:numRef>
              <c:extLst>
                <c:ext xmlns:c15="http://schemas.microsoft.com/office/drawing/2012/chart" uri="{02D57815-91ED-43cb-92C2-25804820EDAC}">
                  <c15:fullRef>
                    <c15:sqref>Summary!$D$4:$D$19</c15:sqref>
                  </c15:fullRef>
                </c:ext>
              </c:extLst>
              <c:f>(Summary!$D$6:$D$8,Summary!$D$10,Summary!$D$14)</c:f>
              <c:numCache>
                <c:formatCode>_(* #,##0_);_(* \(#,##0\);_(* "-"_);_(@_)</c:formatCode>
                <c:ptCount val="5"/>
                <c:pt idx="0">
                  <c:v>18</c:v>
                </c:pt>
                <c:pt idx="1">
                  <c:v>8</c:v>
                </c:pt>
                <c:pt idx="2">
                  <c:v>0</c:v>
                </c:pt>
                <c:pt idx="3">
                  <c:v>35</c:v>
                </c:pt>
                <c:pt idx="4">
                  <c:v>8</c:v>
                </c:pt>
              </c:numCache>
            </c:numRef>
          </c:val>
          <c:extLst>
            <c:ext xmlns:c15="http://schemas.microsoft.com/office/drawing/2012/chart" uri="{02D57815-91ED-43cb-92C2-25804820EDAC}">
              <c15:categoryFilterExceptions>
                <c15:categoryFilterException>
                  <c15:sqref>Summary!$D$9</c15:sqref>
                  <c15:spPr xmlns:c15="http://schemas.microsoft.com/office/drawing/2012/chart">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15:spPr>
                  <c15:bubble3D val="0"/>
                  <c15:dLbl>
                    <c:idx val="2"/>
                    <c:layout>
                      <c:manualLayout>
                        <c:x val="1.2642225031605562E-2"/>
                        <c:y val="-0.18137847642079799"/>
                      </c:manualLayout>
                    </c:layout>
                    <c:dLblPos val="bestFit"/>
                    <c:showLegendKey val="1"/>
                    <c:showVal val="0"/>
                    <c:showCatName val="1"/>
                    <c:showSerName val="0"/>
                    <c:showPercent val="1"/>
                    <c:showBubbleSize val="0"/>
                    <c:extLst>
                      <c:ext uri="{CE6537A1-D6FC-4f65-9D91-7224C49458BB}"/>
                      <c:ext xmlns:c16="http://schemas.microsoft.com/office/drawing/2014/chart" uri="{C3380CC4-5D6E-409C-BE32-E72D297353CC}">
                        <c16:uniqueId val="{0000001B-EC43-42DA-B9D6-26F3701E1B54}"/>
                      </c:ext>
                    </c:extLst>
                  </c15:dLbl>
                </c15:categoryFilterException>
                <c15:categoryFilterException>
                  <c15:sqref>Summary!$D$13</c15:sqref>
                  <c15:spPr xmlns:c15="http://schemas.microsoft.com/office/drawing/2012/chart">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15:spPr>
                  <c15:bubble3D val="0"/>
                </c15:categoryFilterException>
                <c15:categoryFilterException>
                  <c15:sqref>Summary!$D$18</c15:sqref>
                  <c15:spPr xmlns:c15="http://schemas.microsoft.com/office/drawing/2012/chart">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15:spPr>
                  <c15:bubble3D val="0"/>
                  <c15:dLbl>
                    <c:idx val="4"/>
                    <c:layout>
                      <c:manualLayout>
                        <c:x val="-1.0535187526337978E-2"/>
                        <c:y val="-3.6540803897685749E-2"/>
                      </c:manualLayout>
                    </c:layout>
                    <c:dLblPos val="bestFit"/>
                    <c:showLegendKey val="1"/>
                    <c:showVal val="0"/>
                    <c:showCatName val="1"/>
                    <c:showSerName val="0"/>
                    <c:showPercent val="1"/>
                    <c:showBubbleSize val="0"/>
                    <c:extLst>
                      <c:ext uri="{CE6537A1-D6FC-4f65-9D91-7224C49458BB}"/>
                      <c:ext xmlns:c16="http://schemas.microsoft.com/office/drawing/2014/chart" uri="{C3380CC4-5D6E-409C-BE32-E72D297353CC}">
                        <c16:uniqueId val="{0000001F-EC43-42DA-B9D6-26F3701E1B54}"/>
                      </c:ext>
                    </c:extLst>
                  </c15:dLbl>
                </c15:categoryFilterException>
              </c15:categoryFilterExceptions>
            </c:ext>
            <c:ext xmlns:c16="http://schemas.microsoft.com/office/drawing/2014/chart" uri="{C3380CC4-5D6E-409C-BE32-E72D297353CC}">
              <c16:uniqueId val="{00000001-5119-4268-B43E-8ACB8514EB05}"/>
            </c:ext>
          </c:extLst>
        </c:ser>
        <c:dLbls>
          <c:dLblPos val="outEnd"/>
          <c:showLegendKey val="0"/>
          <c:showVal val="0"/>
          <c:showCatName val="1"/>
          <c:showSerName val="0"/>
          <c:showPercent val="0"/>
          <c:showBubbleSize val="0"/>
          <c:showLeaderLines val="1"/>
        </c:dLbls>
        <c:extLst>
          <c:ext xmlns:c15="http://schemas.microsoft.com/office/drawing/2012/chart" uri="{02D57815-91ED-43cb-92C2-25804820EDAC}">
            <c15:filteredPieSeries>
              <c15:ser>
                <c:idx val="0"/>
                <c:order val="0"/>
                <c:tx>
                  <c:strRef>
                    <c:extLst>
                      <c:ext uri="{02D57815-91ED-43cb-92C2-25804820EDAC}">
                        <c15:formulaRef>
                          <c15:sqref>Summary!$C$3</c15:sqref>
                        </c15:formulaRef>
                      </c:ext>
                    </c:extLst>
                    <c:strCache>
                      <c:ptCount val="1"/>
                      <c:pt idx="0">
                        <c:v>Existing</c:v>
                      </c:pt>
                    </c:strCache>
                  </c:strRef>
                </c:tx>
                <c:dPt>
                  <c:idx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7A5B-4E1F-AAC2-0FC4EB8A99E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13C5-40D2-8FC3-615B14709314}"/>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7A5B-4E1F-AAC2-0FC4EB8A99EC}"/>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FDCA-41C7-B46A-8CD5B4C0AFF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13C5-40D2-8FC3-615B147093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ullRef>
                          <c15:sqref>Summary!$B$4:$B$19</c15:sqref>
                        </c15:fullRef>
                        <c15:formulaRef>
                          <c15:sqref>(Summary!$B$6:$B$8,Summary!$B$10,Summary!$B$14)</c15:sqref>
                        </c15:formulaRef>
                      </c:ext>
                    </c:extLst>
                    <c:strCache>
                      <c:ptCount val="5"/>
                      <c:pt idx="0">
                        <c:v>OC - On Condition Task</c:v>
                      </c:pt>
                      <c:pt idx="1">
                        <c:v>SR - Schedule Restoration</c:v>
                      </c:pt>
                      <c:pt idx="2">
                        <c:v>SD - Schedule Discard</c:v>
                      </c:pt>
                      <c:pt idx="3">
                        <c:v>NSM - No Schedule Maintenance</c:v>
                      </c:pt>
                      <c:pt idx="4">
                        <c:v>R - SPARE - Redesign - Spare Management</c:v>
                      </c:pt>
                    </c:strCache>
                  </c:strRef>
                </c:cat>
                <c:val>
                  <c:numRef>
                    <c:extLst>
                      <c:ext uri="{02D57815-91ED-43cb-92C2-25804820EDAC}">
                        <c15:fullRef>
                          <c15:sqref>Summary!$C$4:$C$19</c15:sqref>
                        </c15:fullRef>
                        <c15:formulaRef>
                          <c15:sqref>(Summary!$C$6:$C$8,Summary!$C$10,Summary!$C$14)</c15:sqref>
                        </c15:formulaRef>
                      </c:ext>
                    </c:extLst>
                    <c:numCache>
                      <c:formatCode>General</c:formatCode>
                      <c:ptCount val="5"/>
                      <c:pt idx="0">
                        <c:v>0</c:v>
                      </c:pt>
                      <c:pt idx="1">
                        <c:v>0</c:v>
                      </c:pt>
                      <c:pt idx="2">
                        <c:v>0</c:v>
                      </c:pt>
                      <c:pt idx="3">
                        <c:v>0</c:v>
                      </c:pt>
                      <c:pt idx="4">
                        <c:v>0</c:v>
                      </c:pt>
                    </c:numCache>
                  </c:numRef>
                </c:val>
                <c:extLst>
                  <c:ext uri="{02D57815-91ED-43cb-92C2-25804820EDAC}">
                    <c15:categoryFilterExceptions>
                      <c15:categoryFilterException>
                        <c15:sqref>Summary!$C$9</c15:sqref>
                        <c15:spPr xmlns:c15="http://schemas.microsoft.com/office/drawing/2012/chart">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15:spPr>
                        <c15:bubble3D val="0"/>
                      </c15:categoryFilterException>
                      <c15:categoryFilterException>
                        <c15:sqref>Summary!$C$13</c15:sqref>
                        <c15:spPr xmlns:c15="http://schemas.microsoft.com/office/drawing/2012/chart">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15:spPr>
                        <c15:bubble3D val="0"/>
                      </c15:categoryFilterException>
                      <c15:categoryFilterException>
                        <c15:sqref>Summary!$C$18</c15:sqref>
                        <c15:spPr xmlns:c15="http://schemas.microsoft.com/office/drawing/2012/chart">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15:spPr>
                        <c15:bubble3D val="0"/>
                      </c15:categoryFilterException>
                    </c15:categoryFilterExceptions>
                  </c:ext>
                  <c:ext xmlns:c16="http://schemas.microsoft.com/office/drawing/2014/chart" uri="{C3380CC4-5D6E-409C-BE32-E72D297353CC}">
                    <c16:uniqueId val="{00000000-5119-4268-B43E-8ACB8514EB05}"/>
                  </c:ext>
                </c:extLst>
              </c15:ser>
            </c15:filteredPieSeries>
          </c:ext>
        </c:extLst>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Summary!$C$1</c:f>
          <c:strCache>
            <c:ptCount val="1"/>
            <c:pt idx="0">
              <c:v> Feed Water Pump</c:v>
            </c:pt>
          </c:strCache>
        </c:strRef>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bar"/>
        <c:grouping val="clustered"/>
        <c:varyColors val="0"/>
        <c:ser>
          <c:idx val="0"/>
          <c:order val="0"/>
          <c:tx>
            <c:strRef>
              <c:f>Summary!$C$22</c:f>
              <c:strCache>
                <c:ptCount val="1"/>
                <c:pt idx="0">
                  <c:v>Total Task </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Summary!$B$23:$B$26</c:f>
              <c:strCache>
                <c:ptCount val="4"/>
                <c:pt idx="0">
                  <c:v>NPRIBOIL</c:v>
                </c:pt>
                <c:pt idx="1">
                  <c:v>NPRIELEC</c:v>
                </c:pt>
                <c:pt idx="2">
                  <c:v>NPRICNI</c:v>
                </c:pt>
                <c:pt idx="3">
                  <c:v>NPRIOPER</c:v>
                </c:pt>
              </c:strCache>
            </c:strRef>
          </c:cat>
          <c:val>
            <c:numRef>
              <c:f>Summary!$C$23:$C$26</c:f>
              <c:numCache>
                <c:formatCode>General</c:formatCode>
                <c:ptCount val="4"/>
                <c:pt idx="0">
                  <c:v>55</c:v>
                </c:pt>
                <c:pt idx="1">
                  <c:v>9</c:v>
                </c:pt>
                <c:pt idx="2">
                  <c:v>3</c:v>
                </c:pt>
                <c:pt idx="3">
                  <c:v>1</c:v>
                </c:pt>
              </c:numCache>
            </c:numRef>
          </c:val>
          <c:extLst>
            <c:ext xmlns:c16="http://schemas.microsoft.com/office/drawing/2014/chart" uri="{C3380CC4-5D6E-409C-BE32-E72D297353CC}">
              <c16:uniqueId val="{00000000-6CF2-489C-94C6-C2F8A39332A8}"/>
            </c:ext>
          </c:extLst>
        </c:ser>
        <c:ser>
          <c:idx val="1"/>
          <c:order val="1"/>
          <c:tx>
            <c:strRef>
              <c:f>Summary!$D$22</c:f>
              <c:strCache>
                <c:ptCount val="1"/>
                <c:pt idx="0">
                  <c:v>Task Executed</c:v>
                </c:pt>
              </c:strCache>
            </c:strRef>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Summary!$B$23:$B$26</c:f>
              <c:strCache>
                <c:ptCount val="4"/>
                <c:pt idx="0">
                  <c:v>NPRIBOIL</c:v>
                </c:pt>
                <c:pt idx="1">
                  <c:v>NPRIELEC</c:v>
                </c:pt>
                <c:pt idx="2">
                  <c:v>NPRICNI</c:v>
                </c:pt>
                <c:pt idx="3">
                  <c:v>NPRIOPER</c:v>
                </c:pt>
              </c:strCache>
            </c:strRef>
          </c:cat>
          <c:val>
            <c:numRef>
              <c:f>Summary!$D$23:$D$26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6CF2-489C-94C6-C2F8A39332A8}"/>
            </c:ext>
          </c:extLst>
        </c:ser>
        <c:dLbls>
          <c:dLblPos val="outEnd"/>
          <c:showLegendKey val="0"/>
          <c:showVal val="1"/>
          <c:showCatName val="0"/>
          <c:showSerName val="0"/>
          <c:showPercent val="0"/>
          <c:showBubbleSize val="0"/>
        </c:dLbls>
        <c:gapWidth val="227"/>
        <c:overlap val="-48"/>
        <c:axId val="425841039"/>
        <c:axId val="425834319"/>
        <c:extLst>
          <c:ext xmlns:c15="http://schemas.microsoft.com/office/drawing/2012/chart" uri="{02D57815-91ED-43cb-92C2-25804820EDAC}">
            <c15:filteredBarSeries>
              <c15:ser>
                <c:idx val="2"/>
                <c:order val="2"/>
                <c:tx>
                  <c:strRef>
                    <c:extLst>
                      <c:ext uri="{02D57815-91ED-43cb-92C2-25804820EDAC}">
                        <c15:formulaRef>
                          <c15:sqref>Summary!$E$22</c15:sqref>
                        </c15:formulaRef>
                      </c:ext>
                    </c:extLst>
                    <c:strCache>
                      <c:ptCount val="1"/>
                      <c:pt idx="0">
                        <c:v>Pending Task </c:v>
                      </c:pt>
                    </c:strCache>
                  </c:strRef>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Summary!$B$23:$B$26</c15:sqref>
                        </c15:formulaRef>
                      </c:ext>
                    </c:extLst>
                    <c:strCache>
                      <c:ptCount val="4"/>
                      <c:pt idx="0">
                        <c:v>NPRIBOIL</c:v>
                      </c:pt>
                      <c:pt idx="1">
                        <c:v>NPRIELEC</c:v>
                      </c:pt>
                      <c:pt idx="2">
                        <c:v>NPRICNI</c:v>
                      </c:pt>
                      <c:pt idx="3">
                        <c:v>NPRIOPER</c:v>
                      </c:pt>
                    </c:strCache>
                  </c:strRef>
                </c:cat>
                <c:val>
                  <c:numRef>
                    <c:extLst>
                      <c:ext uri="{02D57815-91ED-43cb-92C2-25804820EDAC}">
                        <c15:formulaRef>
                          <c15:sqref>Summary!$E$23:$E$26</c15:sqref>
                        </c15:formulaRef>
                      </c:ext>
                    </c:extLst>
                    <c:numCache>
                      <c:formatCode>General</c:formatCode>
                      <c:ptCount val="4"/>
                      <c:pt idx="0">
                        <c:v>55</c:v>
                      </c:pt>
                      <c:pt idx="1">
                        <c:v>9</c:v>
                      </c:pt>
                      <c:pt idx="2">
                        <c:v>3</c:v>
                      </c:pt>
                      <c:pt idx="3">
                        <c:v>1</c:v>
                      </c:pt>
                    </c:numCache>
                  </c:numRef>
                </c:val>
                <c:extLst>
                  <c:ext xmlns:c16="http://schemas.microsoft.com/office/drawing/2014/chart" uri="{C3380CC4-5D6E-409C-BE32-E72D297353CC}">
                    <c16:uniqueId val="{00000002-6CF2-489C-94C6-C2F8A39332A8}"/>
                  </c:ext>
                </c:extLst>
              </c15:ser>
            </c15:filteredBarSeries>
          </c:ext>
        </c:extLst>
      </c:barChart>
      <c:catAx>
        <c:axId val="425841039"/>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834319"/>
        <c:crosses val="autoZero"/>
        <c:auto val="1"/>
        <c:lblAlgn val="ctr"/>
        <c:lblOffset val="100"/>
        <c:noMultiLvlLbl val="0"/>
      </c:catAx>
      <c:valAx>
        <c:axId val="4258343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8410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179070</xdr:rowOff>
    </xdr:from>
    <xdr:to>
      <xdr:col>15</xdr:col>
      <xdr:colOff>541020</xdr:colOff>
      <xdr:row>18</xdr:row>
      <xdr:rowOff>15240</xdr:rowOff>
    </xdr:to>
    <xdr:graphicFrame macro="">
      <xdr:nvGraphicFramePr>
        <xdr:cNvPr id="7" name="Chart 6">
          <a:extLst>
            <a:ext uri="{FF2B5EF4-FFF2-40B4-BE49-F238E27FC236}">
              <a16:creationId xmlns:a16="http://schemas.microsoft.com/office/drawing/2014/main" id="{8BCF7DB1-209B-EDDF-FBB6-B44D33DB0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586740</xdr:colOff>
      <xdr:row>20</xdr:row>
      <xdr:rowOff>156210</xdr:rowOff>
    </xdr:from>
    <xdr:to>
      <xdr:col>13</xdr:col>
      <xdr:colOff>281940</xdr:colOff>
      <xdr:row>33</xdr:row>
      <xdr:rowOff>156210</xdr:rowOff>
    </xdr:to>
    <xdr:graphicFrame macro="">
      <xdr:nvGraphicFramePr>
        <xdr:cNvPr id="9" name="Chart 8">
          <a:extLst>
            <a:ext uri="{FF2B5EF4-FFF2-40B4-BE49-F238E27FC236}">
              <a16:creationId xmlns:a16="http://schemas.microsoft.com/office/drawing/2014/main" id="{23829C04-41D6-5F38-D39D-D16F6F35DE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9446116-EED6-465B-A264-8DCC7E7610DA}" autoFormatId="16" applyNumberFormats="0" applyBorderFormats="0" applyFontFormats="0" applyPatternFormats="0" applyAlignmentFormats="0" applyWidthHeightFormats="0">
  <queryTableRefresh nextId="37">
    <queryTableFields count="25">
      <queryTableField id="1" name="Site" tableColumnId="1"/>
      <queryTableField id="2" name="RCM_ID" tableColumnId="2"/>
      <queryTableField id="3" name="RCM_No" tableColumnId="3"/>
      <queryTableField id="4" name="Version" tableColumnId="4"/>
      <queryTableField id="5" name="Reference" tableColumnId="5"/>
      <queryTableField id="6" name="Function" tableColumnId="6"/>
      <queryTableField id="7" name="Function_Failure" tableColumnId="7"/>
      <queryTableField id="8" name="Failure_Mode" tableColumnId="8"/>
      <queryTableField id="9" name="Failure_Effect" tableColumnId="9"/>
      <queryTableField id="10" name="Analysis_Tracking" tableColumnId="10"/>
      <queryTableField id="11" name="Recommended_Strategy" tableColumnId="11"/>
      <queryTableField id="12" name="Proposed_Task" tableColumnId="12"/>
      <queryTableField id="13" name="Interval" tableColumnId="13"/>
      <queryTableField id="14" name="Work_Center" tableColumnId="14"/>
      <queryTableField id="15" name="Implemented" tableColumnId="15"/>
      <queryTableField id="16" name="KKS_Code" tableColumnId="16"/>
      <queryTableField id="17" name="Previous_Proposed_Task" tableColumnId="17"/>
      <queryTableField id="18" name="Previous_Interval" tableColumnId="18"/>
      <queryTableField id="29" name="Column1" tableColumnId="21"/>
      <queryTableField id="30" name="Column2" tableColumnId="23"/>
      <queryTableField id="31" name="Column3" tableColumnId="24"/>
      <queryTableField id="32" name="Column4" tableColumnId="25"/>
      <queryTableField id="19" name="Failure_Mode+Proposed_Task" tableColumnId="19"/>
      <queryTableField id="20" name="Count" tableColumnId="20"/>
      <queryTableField id="22" name="Duplicate" tableColumnId="2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EF98F2-F797-47F2-B167-F5ABF2DF8F04}" name="Table1" displayName="Table1" ref="A1:X261" totalsRowShown="0" headerRowDxfId="31" headerRowBorderDxfId="30" tableBorderDxfId="29" headerRowCellStyle="Normal 2" dataCellStyle="Normal 2">
  <autoFilter ref="A1:X261" xr:uid="{33EF98F2-F797-47F2-B167-F5ABF2DF8F04}"/>
  <tableColumns count="24">
    <tableColumn id="1" xr3:uid="{9CB95091-59AD-4013-A76C-BE6E7308614C}" name="Site" dataCellStyle="Normal 2"/>
    <tableColumn id="2" xr3:uid="{750597CB-C241-463F-88A7-822CA2D9A6E3}" name="RCM_ID" dataCellStyle="Normal 2"/>
    <tableColumn id="3" xr3:uid="{D5975E93-2DB8-4A98-8B67-9D8FAE91F37D}" name="RCM_No" dataCellStyle="Normal 2"/>
    <tableColumn id="4" xr3:uid="{5886988A-5F87-4638-B202-E854A9F81112}" name="Version" dataCellStyle="Normal 2"/>
    <tableColumn id="5" xr3:uid="{1CE2951A-FCCF-4B52-84AB-6EEBC8EE9BF8}" name="F_ID" dataCellStyle="Normal 2"/>
    <tableColumn id="6" xr3:uid="{4EDCC34E-DD90-4AEA-B7D5-F5933A600A60}" name="Function" dataCellStyle="Normal 2"/>
    <tableColumn id="7" xr3:uid="{98BD3B23-414F-4D43-ADDB-522FE97115F2}" name="FF_ID" dataCellStyle="Normal 2"/>
    <tableColumn id="8" xr3:uid="{C9E243EE-2340-4C46-AD93-9E48FDB4470B}" name="Function_Failure" dataCellStyle="Normal 2"/>
    <tableColumn id="9" xr3:uid="{D39277B3-BD99-4262-969D-B2B53472F7DF}" name="FM_ID" dataCellStyle="Normal 2"/>
    <tableColumn id="10" xr3:uid="{FC03CC44-4331-4842-BE8F-BCA79D67D0A1}" name="Failure_Mode" dataCellStyle="Normal 2"/>
    <tableColumn id="11" xr3:uid="{D2247F3F-59A9-42CA-BCD0-919FD4C99CBE}" name="Failure_Effect" dataDxfId="28" dataCellStyle="Normal 2"/>
    <tableColumn id="12" xr3:uid="{54C4A723-DC84-4B16-9361-DFED363A77D6}" name="Analysis_Tracking" dataDxfId="27" dataCellStyle="Normal 2"/>
    <tableColumn id="13" xr3:uid="{4D1978AE-764D-4328-908A-0D1C6AEA4406}" name="Recommended_Strategy" dataCellStyle="Normal 2"/>
    <tableColumn id="14" xr3:uid="{45244F49-3C49-46C5-A480-67B43EA1C395}" name="Proposed_Task" dataCellStyle="Normal 2"/>
    <tableColumn id="15" xr3:uid="{A5A8E633-B427-4DEE-B6EB-79D6377C062B}" name="Interval" dataCellStyle="Normal 2"/>
    <tableColumn id="16" xr3:uid="{20739A77-8B5B-416F-B824-6E330D8F62E4}" name="Work_Center" dataCellStyle="Normal 2"/>
    <tableColumn id="17" xr3:uid="{DE87C3AB-5BFB-43BB-B69F-3F1576C29212}" name="Implemented" dataCellStyle="Normal 2"/>
    <tableColumn id="18" xr3:uid="{CB165865-47D7-4C03-9E65-141BAF9A0B2E}" name="KKS_Code" dataCellStyle="Normal 2"/>
    <tableColumn id="19" xr3:uid="{34268491-CB7C-4B46-97FE-D15A46AFA875}" name="Previous_Proposed_Task" dataCellStyle="Normal 2"/>
    <tableColumn id="20" xr3:uid="{D484AF7D-EE0D-4E74-9EB0-1954305D3572}" name="Previous_Interval" dataCellStyle="Normal 2"/>
    <tableColumn id="21" xr3:uid="{8AF23734-9378-4E7A-BFBE-AA5D850DBD13}" name="Column1" dataCellStyle="Normal 2"/>
    <tableColumn id="22" xr3:uid="{13E3F642-A6E9-42F2-8062-40B2E4CB6078}" name="Column2" dataCellStyle="Normal 2"/>
    <tableColumn id="23" xr3:uid="{E602A1CB-EB65-4C26-84E7-9276510DCBF1}" name="Column3" dataCellStyle="Normal 2"/>
    <tableColumn id="24" xr3:uid="{AD385A07-156B-43A6-A480-135F07D07B8C}" name="Column4"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682E62-65A4-4715-93B6-BAC3FDA3F748}" name="MainQuery" displayName="MainQuery" ref="A1:Y261" tableType="queryTable" totalsRowShown="0">
  <autoFilter ref="A1:Y261" xr:uid="{63682E62-65A4-4715-93B6-BAC3FDA3F748}">
    <filterColumn colId="14">
      <customFilters>
        <customFilter operator="notEqual" val=" "/>
      </customFilters>
    </filterColumn>
  </autoFilter>
  <sortState xmlns:xlrd2="http://schemas.microsoft.com/office/spreadsheetml/2017/richdata2" ref="A2:Y261">
    <sortCondition descending="1" ref="O1:O261"/>
  </sortState>
  <tableColumns count="25">
    <tableColumn id="1" xr3:uid="{8DE50618-D9CE-446C-9626-8A32523D14D0}" uniqueName="1" name="Site" queryTableFieldId="1" dataDxfId="17"/>
    <tableColumn id="2" xr3:uid="{445D73D5-A71E-4A73-BFA2-CB0D1F33B1E0}" uniqueName="2" name="RCM_ID" queryTableFieldId="2" dataDxfId="16"/>
    <tableColumn id="3" xr3:uid="{EDF1C7FE-4B27-46C9-968F-E127BB6F7070}" uniqueName="3" name="RCM_No" queryTableFieldId="3"/>
    <tableColumn id="4" xr3:uid="{45B8AE71-6893-4EDD-AD38-BEF9762D3949}" uniqueName="4" name="Version" queryTableFieldId="4"/>
    <tableColumn id="5" xr3:uid="{698113BF-558E-4F79-9762-3A79D9C866FA}" uniqueName="5" name="Reference" queryTableFieldId="5" dataDxfId="15"/>
    <tableColumn id="6" xr3:uid="{27F269C5-0894-49F0-9A78-0452CD8B5C06}" uniqueName="6" name="Function" queryTableFieldId="6" dataDxfId="14"/>
    <tableColumn id="7" xr3:uid="{98B595F8-5E65-4A99-8059-2C27EF7A917C}" uniqueName="7" name="Function_Failure" queryTableFieldId="7" dataDxfId="13"/>
    <tableColumn id="8" xr3:uid="{CE627D03-FADD-4CA7-97D9-91A2F5CB847E}" uniqueName="8" name="Failure_Mode" queryTableFieldId="8" dataDxfId="12"/>
    <tableColumn id="9" xr3:uid="{6B5B5845-AEB6-471C-B28A-5E76559600ED}" uniqueName="9" name="Failure_Effect" queryTableFieldId="9" dataDxfId="11"/>
    <tableColumn id="10" xr3:uid="{CD9DDD44-D7D5-4E4E-BC18-3D4B49C8B8B3}" uniqueName="10" name="Analysis_Tracking" queryTableFieldId="10" dataDxfId="10"/>
    <tableColumn id="11" xr3:uid="{D093AFC2-2A70-4E27-9F57-93E0DC5CF629}" uniqueName="11" name="Recommended_Strategy" queryTableFieldId="11" dataDxfId="9"/>
    <tableColumn id="12" xr3:uid="{CA7A8E2D-035A-4336-9246-E53334CFD1D5}" uniqueName="12" name="Proposed_Task" queryTableFieldId="12" dataDxfId="8"/>
    <tableColumn id="13" xr3:uid="{DF305672-3083-4805-AEBF-2FBFF6915CAA}" uniqueName="13" name="Interval" queryTableFieldId="13" dataDxfId="7"/>
    <tableColumn id="14" xr3:uid="{1C07ED6A-18F2-43EB-A243-5FB71146653E}" uniqueName="14" name="Work_Center" queryTableFieldId="14" dataDxfId="6"/>
    <tableColumn id="15" xr3:uid="{FD7AEBA2-FD2D-421C-ADF8-40AE79CC551D}" uniqueName="15" name="Implemented" queryTableFieldId="15"/>
    <tableColumn id="16" xr3:uid="{B950F2A4-3FB3-4D7B-B813-7C0946035AA2}" uniqueName="16" name="KKS_Code" queryTableFieldId="16" dataDxfId="5"/>
    <tableColumn id="17" xr3:uid="{43147633-DDEF-46D5-9687-0D9404AFA32F}" uniqueName="17" name="Previous_Proposed_Task" queryTableFieldId="17" dataDxfId="4"/>
    <tableColumn id="18" xr3:uid="{1219318B-485B-4310-BE61-E047DEED9176}" uniqueName="18" name="Previous_Interval" queryTableFieldId="18" dataDxfId="3"/>
    <tableColumn id="21" xr3:uid="{0A502928-4E72-43F2-8B52-EB93232586A5}" uniqueName="21" name="Column1" queryTableFieldId="29"/>
    <tableColumn id="23" xr3:uid="{3A54D507-2C65-423D-A36A-B9F6711D8502}" uniqueName="23" name="Column2" queryTableFieldId="30"/>
    <tableColumn id="24" xr3:uid="{9E1C3FE7-D26E-40E4-A82A-29467A71B81E}" uniqueName="24" name="Column3" queryTableFieldId="31"/>
    <tableColumn id="25" xr3:uid="{ADC7A94C-4D8B-413A-A401-BF413433F1CC}" uniqueName="25" name="Column4" queryTableFieldId="32"/>
    <tableColumn id="19" xr3:uid="{644E47CB-0A0B-43D9-BD0D-33FD347452F4}" uniqueName="19" name="Failure_Mode+Proposed_Task" queryTableFieldId="19" dataDxfId="2"/>
    <tableColumn id="20" xr3:uid="{1FF93C82-16D2-47E0-8A68-12C22A3CCB3F}" uniqueName="20" name="Count" queryTableFieldId="20"/>
    <tableColumn id="22" xr3:uid="{7655A315-B2BF-441B-AC34-D8F1E68C6FD3}" uniqueName="22" name="Duplicate" queryTableFieldId="2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60165-EE61-4ECA-A897-770A1272352A}">
  <sheetPr codeName="Sheet5"/>
  <dimension ref="A1:B10"/>
  <sheetViews>
    <sheetView workbookViewId="0">
      <selection activeCell="B20" sqref="B20"/>
    </sheetView>
  </sheetViews>
  <sheetFormatPr defaultRowHeight="14.5" x14ac:dyDescent="0.35"/>
  <cols>
    <col min="1" max="1" width="11" bestFit="1" customWidth="1"/>
    <col min="2" max="2" width="110" bestFit="1" customWidth="1"/>
  </cols>
  <sheetData>
    <row r="1" spans="1:2" x14ac:dyDescent="0.35">
      <c r="A1" t="s">
        <v>66</v>
      </c>
      <c r="B1" s="7"/>
    </row>
    <row r="2" spans="1:2" ht="43.5" x14ac:dyDescent="0.35">
      <c r="B2" s="7" t="s">
        <v>68</v>
      </c>
    </row>
    <row r="4" spans="1:2" x14ac:dyDescent="0.35">
      <c r="B4" s="7" t="s">
        <v>67</v>
      </c>
    </row>
    <row r="6" spans="1:2" ht="29" x14ac:dyDescent="0.35">
      <c r="B6" s="7" t="s">
        <v>111</v>
      </c>
    </row>
    <row r="8" spans="1:2" x14ac:dyDescent="0.35">
      <c r="B8" s="7" t="s">
        <v>112</v>
      </c>
    </row>
    <row r="10" spans="1:2" x14ac:dyDescent="0.35">
      <c r="B10" s="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D872E-9E1F-40A0-A49F-884DA8571442}">
  <sheetPr codeName="Sheet2"/>
  <dimension ref="A1:X261"/>
  <sheetViews>
    <sheetView tabSelected="1" workbookViewId="0">
      <selection activeCell="B2" sqref="B2"/>
    </sheetView>
  </sheetViews>
  <sheetFormatPr defaultRowHeight="14.5" x14ac:dyDescent="0.35"/>
  <cols>
    <col min="1" max="1" width="16.36328125" customWidth="1"/>
    <col min="2" max="2" width="29.453125" customWidth="1"/>
    <col min="3" max="3" width="10.36328125" customWidth="1"/>
    <col min="4" max="4" width="9.1796875" customWidth="1"/>
    <col min="6" max="6" width="10.1796875" customWidth="1"/>
    <col min="8" max="8" width="107.7265625" bestFit="1" customWidth="1"/>
    <col min="10" max="10" width="61.08984375" bestFit="1" customWidth="1"/>
    <col min="11" max="11" width="52.90625" style="7" customWidth="1"/>
    <col min="12" max="12" width="58.26953125" style="7" bestFit="1" customWidth="1"/>
    <col min="13" max="13" width="23.81640625" bestFit="1" customWidth="1"/>
    <col min="14" max="14" width="24.54296875" customWidth="1"/>
    <col min="15" max="15" width="9.54296875" bestFit="1" customWidth="1"/>
    <col min="16" max="16" width="14" customWidth="1"/>
    <col min="17" max="17" width="14.1796875" customWidth="1"/>
    <col min="18" max="18" width="28.6328125" bestFit="1" customWidth="1"/>
    <col min="19" max="19" width="23.90625" customWidth="1"/>
    <col min="20" max="20" width="17.54296875" customWidth="1"/>
    <col min="24" max="24" width="89.453125" bestFit="1" customWidth="1"/>
  </cols>
  <sheetData>
    <row r="1" spans="1:24" s="14" customFormat="1" x14ac:dyDescent="0.35">
      <c r="A1" s="11" t="s">
        <v>0</v>
      </c>
      <c r="B1" s="12" t="s">
        <v>1</v>
      </c>
      <c r="C1" s="12" t="s">
        <v>2</v>
      </c>
      <c r="D1" s="12" t="s">
        <v>3</v>
      </c>
      <c r="E1" s="12" t="s">
        <v>4</v>
      </c>
      <c r="F1" s="12" t="s">
        <v>5</v>
      </c>
      <c r="G1" s="12" t="s">
        <v>6</v>
      </c>
      <c r="H1" s="12" t="s">
        <v>7</v>
      </c>
      <c r="I1" s="12" t="s">
        <v>8</v>
      </c>
      <c r="J1" s="12" t="s">
        <v>9</v>
      </c>
      <c r="K1" s="16" t="s">
        <v>10</v>
      </c>
      <c r="L1" s="16" t="s">
        <v>11</v>
      </c>
      <c r="M1" s="12" t="s">
        <v>12</v>
      </c>
      <c r="N1" s="12" t="s">
        <v>13</v>
      </c>
      <c r="O1" s="12" t="s">
        <v>14</v>
      </c>
      <c r="P1" s="12" t="s">
        <v>15</v>
      </c>
      <c r="Q1" s="12" t="s">
        <v>16</v>
      </c>
      <c r="R1" s="12" t="s">
        <v>17</v>
      </c>
      <c r="S1" s="12" t="s">
        <v>18</v>
      </c>
      <c r="T1" s="13" t="s">
        <v>19</v>
      </c>
      <c r="U1" s="12" t="s">
        <v>80</v>
      </c>
      <c r="V1" s="12" t="s">
        <v>81</v>
      </c>
      <c r="W1" s="12" t="s">
        <v>82</v>
      </c>
      <c r="X1" s="12" t="s">
        <v>83</v>
      </c>
    </row>
    <row r="2" spans="1:24" ht="116" x14ac:dyDescent="0.35">
      <c r="A2" t="s">
        <v>135</v>
      </c>
      <c r="B2" t="s">
        <v>136</v>
      </c>
      <c r="C2">
        <v>10</v>
      </c>
      <c r="D2">
        <v>1</v>
      </c>
      <c r="E2" t="s">
        <v>69</v>
      </c>
      <c r="F2" t="s">
        <v>137</v>
      </c>
      <c r="G2" t="s">
        <v>70</v>
      </c>
      <c r="H2" t="s">
        <v>138</v>
      </c>
      <c r="I2" t="s">
        <v>71</v>
      </c>
      <c r="J2" t="s">
        <v>139</v>
      </c>
      <c r="K2" s="7" t="s">
        <v>140</v>
      </c>
      <c r="L2" t="s">
        <v>141</v>
      </c>
      <c r="M2" s="9" t="s">
        <v>25</v>
      </c>
      <c r="N2" s="9" t="s">
        <v>142</v>
      </c>
      <c r="O2" s="9" t="s">
        <v>143</v>
      </c>
      <c r="P2" s="9" t="s">
        <v>144</v>
      </c>
      <c r="Q2" s="9" t="b">
        <v>0</v>
      </c>
      <c r="R2" s="9" t="s">
        <v>145</v>
      </c>
      <c r="S2" s="9">
        <v>0</v>
      </c>
      <c r="T2" s="9">
        <v>0</v>
      </c>
      <c r="U2" s="9">
        <v>0</v>
      </c>
      <c r="V2" s="9" t="s">
        <v>20</v>
      </c>
      <c r="W2" s="9" t="s">
        <v>20</v>
      </c>
      <c r="X2" s="9"/>
    </row>
    <row r="3" spans="1:24" ht="101.5" x14ac:dyDescent="0.35">
      <c r="A3" t="s">
        <v>135</v>
      </c>
      <c r="B3" t="s">
        <v>136</v>
      </c>
      <c r="C3">
        <v>10</v>
      </c>
      <c r="D3">
        <v>1</v>
      </c>
      <c r="E3" t="s">
        <v>69</v>
      </c>
      <c r="F3" t="s">
        <v>137</v>
      </c>
      <c r="G3" t="s">
        <v>70</v>
      </c>
      <c r="H3" t="s">
        <v>138</v>
      </c>
      <c r="I3" t="s">
        <v>73</v>
      </c>
      <c r="J3" t="s">
        <v>146</v>
      </c>
      <c r="K3" s="7" t="s">
        <v>147</v>
      </c>
      <c r="L3" t="s">
        <v>141</v>
      </c>
      <c r="M3" s="9" t="s">
        <v>25</v>
      </c>
      <c r="N3" s="9" t="s">
        <v>142</v>
      </c>
      <c r="O3" s="9" t="s">
        <v>143</v>
      </c>
      <c r="P3" s="9" t="s">
        <v>144</v>
      </c>
      <c r="Q3" s="9" t="b">
        <v>0</v>
      </c>
      <c r="R3" s="9" t="s">
        <v>145</v>
      </c>
      <c r="S3" s="9">
        <v>0</v>
      </c>
      <c r="T3" s="9">
        <v>0</v>
      </c>
      <c r="U3" s="9">
        <v>0</v>
      </c>
      <c r="V3" s="9" t="s">
        <v>20</v>
      </c>
      <c r="W3" s="9" t="s">
        <v>20</v>
      </c>
      <c r="X3" s="9"/>
    </row>
    <row r="4" spans="1:24" ht="101.5" x14ac:dyDescent="0.35">
      <c r="A4" t="s">
        <v>135</v>
      </c>
      <c r="B4" t="s">
        <v>136</v>
      </c>
      <c r="C4">
        <v>10</v>
      </c>
      <c r="D4">
        <v>1</v>
      </c>
      <c r="E4" t="s">
        <v>69</v>
      </c>
      <c r="F4" t="s">
        <v>137</v>
      </c>
      <c r="G4" t="s">
        <v>70</v>
      </c>
      <c r="H4" t="s">
        <v>138</v>
      </c>
      <c r="I4" t="s">
        <v>74</v>
      </c>
      <c r="J4" t="s">
        <v>148</v>
      </c>
      <c r="K4" s="7" t="s">
        <v>149</v>
      </c>
      <c r="L4" t="s">
        <v>141</v>
      </c>
      <c r="M4" s="9" t="s">
        <v>25</v>
      </c>
      <c r="N4" s="9" t="s">
        <v>142</v>
      </c>
      <c r="O4" s="9" t="s">
        <v>143</v>
      </c>
      <c r="P4" s="9" t="s">
        <v>144</v>
      </c>
      <c r="Q4" s="9" t="b">
        <v>0</v>
      </c>
      <c r="R4" s="9" t="s">
        <v>145</v>
      </c>
      <c r="S4" s="9">
        <v>0</v>
      </c>
      <c r="T4" s="9">
        <v>0</v>
      </c>
      <c r="U4" s="9">
        <v>0</v>
      </c>
      <c r="V4" s="9" t="s">
        <v>20</v>
      </c>
      <c r="W4" s="9" t="s">
        <v>20</v>
      </c>
      <c r="X4" s="9"/>
    </row>
    <row r="5" spans="1:24" ht="58" x14ac:dyDescent="0.35">
      <c r="A5" t="s">
        <v>135</v>
      </c>
      <c r="B5" t="s">
        <v>136</v>
      </c>
      <c r="C5">
        <v>10</v>
      </c>
      <c r="D5">
        <v>1</v>
      </c>
      <c r="E5" t="s">
        <v>69</v>
      </c>
      <c r="F5" t="s">
        <v>137</v>
      </c>
      <c r="G5" t="s">
        <v>70</v>
      </c>
      <c r="H5" t="s">
        <v>138</v>
      </c>
      <c r="I5" t="s">
        <v>75</v>
      </c>
      <c r="J5" t="s">
        <v>150</v>
      </c>
      <c r="K5" s="7" t="s">
        <v>151</v>
      </c>
      <c r="L5" t="s">
        <v>152</v>
      </c>
      <c r="M5" s="9" t="s">
        <v>39</v>
      </c>
      <c r="N5" s="9" t="s">
        <v>153</v>
      </c>
      <c r="O5" s="9" t="s">
        <v>126</v>
      </c>
      <c r="P5" s="9" t="s">
        <v>144</v>
      </c>
      <c r="Q5" s="9" t="b">
        <v>0</v>
      </c>
      <c r="R5" s="9" t="s">
        <v>154</v>
      </c>
      <c r="S5" s="9">
        <v>0</v>
      </c>
      <c r="T5" s="9">
        <v>0</v>
      </c>
      <c r="U5" s="9">
        <v>0</v>
      </c>
      <c r="V5" s="9" t="s">
        <v>20</v>
      </c>
      <c r="W5" s="9" t="s">
        <v>20</v>
      </c>
      <c r="X5" s="9"/>
    </row>
    <row r="6" spans="1:24" ht="101.5" x14ac:dyDescent="0.35">
      <c r="A6" t="s">
        <v>135</v>
      </c>
      <c r="B6" t="s">
        <v>136</v>
      </c>
      <c r="C6">
        <v>10</v>
      </c>
      <c r="D6">
        <v>1</v>
      </c>
      <c r="E6" t="s">
        <v>69</v>
      </c>
      <c r="F6" t="s">
        <v>137</v>
      </c>
      <c r="G6" t="s">
        <v>70</v>
      </c>
      <c r="H6" t="s">
        <v>138</v>
      </c>
      <c r="I6" t="s">
        <v>117</v>
      </c>
      <c r="J6" t="s">
        <v>155</v>
      </c>
      <c r="K6" s="7" t="s">
        <v>156</v>
      </c>
      <c r="L6" t="s">
        <v>141</v>
      </c>
      <c r="M6" s="9" t="s">
        <v>25</v>
      </c>
      <c r="N6" s="9" t="s">
        <v>157</v>
      </c>
      <c r="O6" s="9" t="s">
        <v>20</v>
      </c>
      <c r="P6" s="9" t="s">
        <v>158</v>
      </c>
      <c r="Q6" s="9" t="b">
        <v>0</v>
      </c>
      <c r="R6" s="9" t="s">
        <v>159</v>
      </c>
      <c r="S6" s="9">
        <v>0</v>
      </c>
      <c r="T6" s="9">
        <v>0</v>
      </c>
      <c r="U6" s="9">
        <v>0</v>
      </c>
      <c r="V6" s="9" t="s">
        <v>20</v>
      </c>
      <c r="W6" s="9" t="s">
        <v>20</v>
      </c>
      <c r="X6" s="9"/>
    </row>
    <row r="7" spans="1:24" ht="130.5" x14ac:dyDescent="0.35">
      <c r="A7" t="s">
        <v>135</v>
      </c>
      <c r="B7" t="s">
        <v>136</v>
      </c>
      <c r="C7">
        <v>10</v>
      </c>
      <c r="D7">
        <v>1</v>
      </c>
      <c r="E7" t="s">
        <v>69</v>
      </c>
      <c r="F7" t="s">
        <v>137</v>
      </c>
      <c r="G7" t="s">
        <v>70</v>
      </c>
      <c r="H7" t="s">
        <v>138</v>
      </c>
      <c r="I7" t="s">
        <v>118</v>
      </c>
      <c r="J7" t="s">
        <v>160</v>
      </c>
      <c r="K7" s="7" t="s">
        <v>161</v>
      </c>
      <c r="L7" t="s">
        <v>125</v>
      </c>
      <c r="M7" s="9" t="s">
        <v>23</v>
      </c>
      <c r="N7" s="9" t="s">
        <v>162</v>
      </c>
      <c r="O7" s="9" t="s">
        <v>126</v>
      </c>
      <c r="P7" s="9" t="s">
        <v>163</v>
      </c>
      <c r="Q7" s="9" t="b">
        <v>0</v>
      </c>
      <c r="R7" s="9" t="s">
        <v>164</v>
      </c>
      <c r="S7" s="9">
        <v>0</v>
      </c>
      <c r="T7" s="9">
        <v>0</v>
      </c>
      <c r="U7" s="9">
        <v>0</v>
      </c>
      <c r="V7" s="9" t="s">
        <v>20</v>
      </c>
      <c r="W7" s="9" t="s">
        <v>20</v>
      </c>
      <c r="X7" s="9"/>
    </row>
    <row r="8" spans="1:24" ht="87" x14ac:dyDescent="0.35">
      <c r="A8" t="s">
        <v>135</v>
      </c>
      <c r="B8" t="s">
        <v>136</v>
      </c>
      <c r="C8">
        <v>10</v>
      </c>
      <c r="D8">
        <v>1</v>
      </c>
      <c r="E8" t="s">
        <v>69</v>
      </c>
      <c r="F8" t="s">
        <v>137</v>
      </c>
      <c r="G8" t="s">
        <v>70</v>
      </c>
      <c r="H8" t="s">
        <v>138</v>
      </c>
      <c r="I8" t="s">
        <v>122</v>
      </c>
      <c r="J8" t="s">
        <v>165</v>
      </c>
      <c r="K8" s="7" t="s">
        <v>166</v>
      </c>
      <c r="L8" t="s">
        <v>167</v>
      </c>
      <c r="M8" s="9" t="s">
        <v>27</v>
      </c>
      <c r="N8" s="9" t="s">
        <v>168</v>
      </c>
      <c r="O8" s="9" t="s">
        <v>20</v>
      </c>
      <c r="P8" s="9" t="s">
        <v>163</v>
      </c>
      <c r="Q8" s="9" t="b">
        <v>0</v>
      </c>
      <c r="R8" s="9" t="s">
        <v>169</v>
      </c>
      <c r="S8" s="9">
        <v>0</v>
      </c>
      <c r="T8" s="9">
        <v>0</v>
      </c>
      <c r="U8" s="9">
        <v>0</v>
      </c>
      <c r="V8" s="9" t="s">
        <v>20</v>
      </c>
      <c r="W8" s="9" t="s">
        <v>20</v>
      </c>
      <c r="X8" s="9"/>
    </row>
    <row r="9" spans="1:24" ht="145" x14ac:dyDescent="0.35">
      <c r="A9" t="s">
        <v>135</v>
      </c>
      <c r="B9" t="s">
        <v>136</v>
      </c>
      <c r="C9">
        <v>10</v>
      </c>
      <c r="D9">
        <v>1</v>
      </c>
      <c r="E9" t="s">
        <v>69</v>
      </c>
      <c r="F9" t="s">
        <v>137</v>
      </c>
      <c r="G9" t="s">
        <v>70</v>
      </c>
      <c r="H9" t="s">
        <v>138</v>
      </c>
      <c r="I9" t="s">
        <v>127</v>
      </c>
      <c r="J9" t="s">
        <v>170</v>
      </c>
      <c r="K9" s="7" t="s">
        <v>171</v>
      </c>
      <c r="L9" t="s">
        <v>119</v>
      </c>
      <c r="M9" s="9" t="s">
        <v>23</v>
      </c>
      <c r="N9" s="9" t="s">
        <v>162</v>
      </c>
      <c r="O9" s="9" t="s">
        <v>126</v>
      </c>
      <c r="P9" s="9" t="s">
        <v>163</v>
      </c>
      <c r="Q9" s="9" t="b">
        <v>0</v>
      </c>
      <c r="R9" s="9" t="s">
        <v>164</v>
      </c>
      <c r="S9" s="9">
        <v>0</v>
      </c>
      <c r="T9" s="9">
        <v>0</v>
      </c>
      <c r="U9" s="9">
        <v>0</v>
      </c>
      <c r="V9" s="9" t="s">
        <v>20</v>
      </c>
      <c r="W9" s="9" t="s">
        <v>20</v>
      </c>
      <c r="X9" s="9"/>
    </row>
    <row r="10" spans="1:24" ht="130.5" x14ac:dyDescent="0.35">
      <c r="A10" t="s">
        <v>135</v>
      </c>
      <c r="B10" t="s">
        <v>136</v>
      </c>
      <c r="C10">
        <v>10</v>
      </c>
      <c r="D10">
        <v>1</v>
      </c>
      <c r="E10" t="s">
        <v>69</v>
      </c>
      <c r="F10" t="s">
        <v>137</v>
      </c>
      <c r="G10" t="s">
        <v>70</v>
      </c>
      <c r="H10" t="s">
        <v>138</v>
      </c>
      <c r="I10" t="s">
        <v>172</v>
      </c>
      <c r="J10" t="s">
        <v>173</v>
      </c>
      <c r="K10" s="7" t="s">
        <v>174</v>
      </c>
      <c r="L10" t="s">
        <v>167</v>
      </c>
      <c r="M10" s="9" t="s">
        <v>27</v>
      </c>
      <c r="N10" s="9" t="s">
        <v>175</v>
      </c>
      <c r="O10" s="9" t="s">
        <v>20</v>
      </c>
      <c r="P10" s="9" t="s">
        <v>144</v>
      </c>
      <c r="Q10" s="9" t="b">
        <v>0</v>
      </c>
      <c r="R10" s="9" t="s">
        <v>176</v>
      </c>
      <c r="S10" s="9">
        <v>0</v>
      </c>
      <c r="T10" s="9">
        <v>0</v>
      </c>
      <c r="U10" s="9">
        <v>0</v>
      </c>
      <c r="V10" s="9" t="s">
        <v>20</v>
      </c>
      <c r="W10" s="9" t="s">
        <v>20</v>
      </c>
      <c r="X10" s="9"/>
    </row>
    <row r="11" spans="1:24" ht="130.5" x14ac:dyDescent="0.35">
      <c r="A11" t="s">
        <v>135</v>
      </c>
      <c r="B11" t="s">
        <v>136</v>
      </c>
      <c r="C11">
        <v>10</v>
      </c>
      <c r="D11">
        <v>1</v>
      </c>
      <c r="E11" t="s">
        <v>69</v>
      </c>
      <c r="F11" t="s">
        <v>137</v>
      </c>
      <c r="G11" t="s">
        <v>70</v>
      </c>
      <c r="H11" t="s">
        <v>138</v>
      </c>
      <c r="I11" t="s">
        <v>177</v>
      </c>
      <c r="J11" t="s">
        <v>178</v>
      </c>
      <c r="K11" s="7" t="s">
        <v>179</v>
      </c>
      <c r="L11" t="s">
        <v>125</v>
      </c>
      <c r="M11" s="9" t="s">
        <v>23</v>
      </c>
      <c r="N11" s="9" t="s">
        <v>180</v>
      </c>
      <c r="O11" s="9" t="s">
        <v>126</v>
      </c>
      <c r="P11" s="9" t="s">
        <v>144</v>
      </c>
      <c r="Q11" s="9" t="b">
        <v>0</v>
      </c>
      <c r="R11" s="9" t="s">
        <v>176</v>
      </c>
      <c r="S11" s="9">
        <v>0</v>
      </c>
      <c r="T11" s="9">
        <v>0</v>
      </c>
      <c r="U11" s="9">
        <v>0</v>
      </c>
      <c r="V11" s="9" t="s">
        <v>20</v>
      </c>
      <c r="W11" s="9" t="s">
        <v>20</v>
      </c>
      <c r="X11" s="9"/>
    </row>
    <row r="12" spans="1:24" ht="116" x14ac:dyDescent="0.35">
      <c r="A12" t="s">
        <v>135</v>
      </c>
      <c r="B12" t="s">
        <v>136</v>
      </c>
      <c r="C12">
        <v>10</v>
      </c>
      <c r="D12">
        <v>1</v>
      </c>
      <c r="E12" t="s">
        <v>69</v>
      </c>
      <c r="F12" t="s">
        <v>137</v>
      </c>
      <c r="G12" t="s">
        <v>70</v>
      </c>
      <c r="H12" t="s">
        <v>138</v>
      </c>
      <c r="I12" t="s">
        <v>181</v>
      </c>
      <c r="J12" t="s">
        <v>182</v>
      </c>
      <c r="K12" s="7" t="s">
        <v>183</v>
      </c>
      <c r="L12" t="s">
        <v>167</v>
      </c>
      <c r="M12" s="9" t="s">
        <v>27</v>
      </c>
      <c r="N12" s="9" t="s">
        <v>175</v>
      </c>
      <c r="O12" s="9" t="s">
        <v>20</v>
      </c>
      <c r="P12" s="9" t="s">
        <v>144</v>
      </c>
      <c r="Q12" s="9" t="b">
        <v>0</v>
      </c>
      <c r="R12" s="9" t="s">
        <v>176</v>
      </c>
      <c r="S12" s="9">
        <v>0</v>
      </c>
      <c r="T12" s="9">
        <v>0</v>
      </c>
      <c r="U12" s="9">
        <v>0</v>
      </c>
      <c r="V12" s="9" t="s">
        <v>20</v>
      </c>
      <c r="W12" s="9" t="s">
        <v>20</v>
      </c>
      <c r="X12" s="9"/>
    </row>
    <row r="13" spans="1:24" ht="246.5" x14ac:dyDescent="0.35">
      <c r="A13" t="s">
        <v>135</v>
      </c>
      <c r="B13" t="s">
        <v>136</v>
      </c>
      <c r="C13">
        <v>10</v>
      </c>
      <c r="D13">
        <v>1</v>
      </c>
      <c r="E13" t="s">
        <v>69</v>
      </c>
      <c r="F13" t="s">
        <v>137</v>
      </c>
      <c r="G13" t="s">
        <v>70</v>
      </c>
      <c r="H13" t="s">
        <v>138</v>
      </c>
      <c r="I13" t="s">
        <v>184</v>
      </c>
      <c r="J13" t="s">
        <v>185</v>
      </c>
      <c r="K13" s="7" t="s">
        <v>186</v>
      </c>
      <c r="L13" t="s">
        <v>125</v>
      </c>
      <c r="M13" s="9" t="s">
        <v>23</v>
      </c>
      <c r="N13" s="9" t="s">
        <v>187</v>
      </c>
      <c r="O13" s="9" t="s">
        <v>20</v>
      </c>
      <c r="P13" s="9" t="s">
        <v>188</v>
      </c>
      <c r="Q13" s="9" t="b">
        <v>0</v>
      </c>
      <c r="R13" s="9" t="s">
        <v>189</v>
      </c>
      <c r="S13" s="9">
        <v>0</v>
      </c>
      <c r="T13" s="9">
        <v>0</v>
      </c>
      <c r="U13" s="9">
        <v>0</v>
      </c>
      <c r="V13" s="9" t="s">
        <v>20</v>
      </c>
      <c r="W13" s="9" t="s">
        <v>20</v>
      </c>
      <c r="X13" s="9"/>
    </row>
    <row r="14" spans="1:24" ht="116" x14ac:dyDescent="0.35">
      <c r="A14" t="s">
        <v>135</v>
      </c>
      <c r="B14" t="s">
        <v>136</v>
      </c>
      <c r="C14">
        <v>10</v>
      </c>
      <c r="D14">
        <v>1</v>
      </c>
      <c r="E14" t="s">
        <v>69</v>
      </c>
      <c r="F14" t="s">
        <v>137</v>
      </c>
      <c r="G14" t="s">
        <v>70</v>
      </c>
      <c r="H14" t="s">
        <v>138</v>
      </c>
      <c r="I14" t="s">
        <v>190</v>
      </c>
      <c r="J14" t="s">
        <v>191</v>
      </c>
      <c r="K14" s="7" t="s">
        <v>192</v>
      </c>
      <c r="L14" t="s">
        <v>125</v>
      </c>
      <c r="M14" s="9" t="s">
        <v>23</v>
      </c>
      <c r="N14" s="9" t="s">
        <v>180</v>
      </c>
      <c r="O14" s="9" t="s">
        <v>126</v>
      </c>
      <c r="P14" s="9" t="s">
        <v>144</v>
      </c>
      <c r="Q14" s="9" t="b">
        <v>0</v>
      </c>
      <c r="R14" s="9" t="s">
        <v>176</v>
      </c>
      <c r="S14" s="9">
        <v>0</v>
      </c>
      <c r="T14" s="9">
        <v>0</v>
      </c>
      <c r="U14" s="9">
        <v>0</v>
      </c>
      <c r="V14" s="9" t="s">
        <v>20</v>
      </c>
      <c r="W14" s="9" t="s">
        <v>20</v>
      </c>
      <c r="X14" s="9"/>
    </row>
    <row r="15" spans="1:24" ht="116" x14ac:dyDescent="0.35">
      <c r="A15" t="s">
        <v>135</v>
      </c>
      <c r="B15" t="s">
        <v>136</v>
      </c>
      <c r="C15">
        <v>10</v>
      </c>
      <c r="D15">
        <v>1</v>
      </c>
      <c r="E15" t="s">
        <v>69</v>
      </c>
      <c r="F15" t="s">
        <v>137</v>
      </c>
      <c r="G15" t="s">
        <v>70</v>
      </c>
      <c r="H15" t="s">
        <v>138</v>
      </c>
      <c r="I15" t="s">
        <v>193</v>
      </c>
      <c r="J15" t="s">
        <v>194</v>
      </c>
      <c r="K15" s="7" t="s">
        <v>195</v>
      </c>
      <c r="L15" t="s">
        <v>119</v>
      </c>
      <c r="M15" s="9" t="s">
        <v>23</v>
      </c>
      <c r="N15" s="9" t="s">
        <v>180</v>
      </c>
      <c r="O15" s="9" t="s">
        <v>126</v>
      </c>
      <c r="P15" s="9" t="s">
        <v>144</v>
      </c>
      <c r="Q15" s="9" t="b">
        <v>0</v>
      </c>
      <c r="R15" s="9" t="s">
        <v>176</v>
      </c>
      <c r="S15" s="9">
        <v>0</v>
      </c>
      <c r="T15" s="9">
        <v>0</v>
      </c>
      <c r="U15" s="9">
        <v>0</v>
      </c>
      <c r="V15" s="9" t="s">
        <v>20</v>
      </c>
      <c r="W15" s="9" t="s">
        <v>20</v>
      </c>
      <c r="X15" s="9"/>
    </row>
    <row r="16" spans="1:24" ht="87" x14ac:dyDescent="0.35">
      <c r="A16" t="s">
        <v>135</v>
      </c>
      <c r="B16" t="s">
        <v>136</v>
      </c>
      <c r="C16">
        <v>10</v>
      </c>
      <c r="D16">
        <v>1</v>
      </c>
      <c r="E16" t="s">
        <v>69</v>
      </c>
      <c r="F16" t="s">
        <v>137</v>
      </c>
      <c r="G16" t="s">
        <v>70</v>
      </c>
      <c r="H16" t="s">
        <v>138</v>
      </c>
      <c r="I16" t="s">
        <v>196</v>
      </c>
      <c r="J16" t="s">
        <v>197</v>
      </c>
      <c r="K16" s="7" t="s">
        <v>198</v>
      </c>
      <c r="L16" t="s">
        <v>119</v>
      </c>
      <c r="M16" s="9" t="s">
        <v>23</v>
      </c>
      <c r="N16" s="9" t="s">
        <v>180</v>
      </c>
      <c r="O16" s="9" t="s">
        <v>126</v>
      </c>
      <c r="P16" s="9" t="s">
        <v>144</v>
      </c>
      <c r="Q16" s="9" t="b">
        <v>0</v>
      </c>
      <c r="R16" s="9" t="s">
        <v>176</v>
      </c>
      <c r="S16" s="9">
        <v>0</v>
      </c>
      <c r="T16" s="9">
        <v>0</v>
      </c>
      <c r="U16" s="9">
        <v>0</v>
      </c>
      <c r="V16" s="9" t="s">
        <v>20</v>
      </c>
      <c r="W16" s="9" t="s">
        <v>20</v>
      </c>
      <c r="X16" s="9"/>
    </row>
    <row r="17" spans="1:24" ht="116" x14ac:dyDescent="0.35">
      <c r="A17" t="s">
        <v>135</v>
      </c>
      <c r="B17" t="s">
        <v>136</v>
      </c>
      <c r="C17">
        <v>10</v>
      </c>
      <c r="D17">
        <v>1</v>
      </c>
      <c r="E17" t="s">
        <v>69</v>
      </c>
      <c r="F17" t="s">
        <v>137</v>
      </c>
      <c r="G17" t="s">
        <v>72</v>
      </c>
      <c r="H17" t="s">
        <v>199</v>
      </c>
      <c r="I17" t="s">
        <v>71</v>
      </c>
      <c r="J17" t="s">
        <v>200</v>
      </c>
      <c r="K17" s="7" t="s">
        <v>201</v>
      </c>
      <c r="L17" t="s">
        <v>167</v>
      </c>
      <c r="M17" s="9" t="s">
        <v>27</v>
      </c>
      <c r="N17" s="9" t="s">
        <v>175</v>
      </c>
      <c r="O17" s="9" t="s">
        <v>20</v>
      </c>
      <c r="P17" s="9" t="s">
        <v>144</v>
      </c>
      <c r="Q17" s="9" t="b">
        <v>0</v>
      </c>
      <c r="R17" s="9" t="s">
        <v>145</v>
      </c>
      <c r="S17" s="9">
        <v>0</v>
      </c>
      <c r="T17" s="9">
        <v>0</v>
      </c>
      <c r="U17" s="9">
        <v>0</v>
      </c>
      <c r="V17" s="9" t="s">
        <v>20</v>
      </c>
      <c r="W17" s="9" t="s">
        <v>20</v>
      </c>
      <c r="X17" s="9"/>
    </row>
    <row r="18" spans="1:24" ht="116" x14ac:dyDescent="0.35">
      <c r="A18" t="s">
        <v>135</v>
      </c>
      <c r="B18" t="s">
        <v>136</v>
      </c>
      <c r="C18">
        <v>10</v>
      </c>
      <c r="D18">
        <v>1</v>
      </c>
      <c r="E18" t="s">
        <v>69</v>
      </c>
      <c r="F18" t="s">
        <v>137</v>
      </c>
      <c r="G18" t="s">
        <v>72</v>
      </c>
      <c r="H18" t="s">
        <v>199</v>
      </c>
      <c r="I18" t="s">
        <v>73</v>
      </c>
      <c r="J18" t="s">
        <v>202</v>
      </c>
      <c r="K18" s="7" t="s">
        <v>203</v>
      </c>
      <c r="L18" t="s">
        <v>20</v>
      </c>
      <c r="M18" s="9" t="s">
        <v>20</v>
      </c>
      <c r="N18" s="9" t="s">
        <v>175</v>
      </c>
      <c r="O18" s="9" t="s">
        <v>20</v>
      </c>
      <c r="P18" s="9" t="s">
        <v>144</v>
      </c>
      <c r="Q18" s="9" t="b">
        <v>0</v>
      </c>
      <c r="R18" s="9" t="s">
        <v>204</v>
      </c>
      <c r="S18" s="9">
        <v>0</v>
      </c>
      <c r="T18" s="9">
        <v>0</v>
      </c>
      <c r="U18" s="9">
        <v>0</v>
      </c>
      <c r="V18" s="9" t="s">
        <v>20</v>
      </c>
      <c r="W18" s="9" t="s">
        <v>20</v>
      </c>
      <c r="X18" s="9"/>
    </row>
    <row r="19" spans="1:24" ht="87" x14ac:dyDescent="0.35">
      <c r="A19" t="s">
        <v>135</v>
      </c>
      <c r="B19" t="s">
        <v>136</v>
      </c>
      <c r="C19">
        <v>10</v>
      </c>
      <c r="D19">
        <v>1</v>
      </c>
      <c r="E19" t="s">
        <v>69</v>
      </c>
      <c r="F19" t="s">
        <v>137</v>
      </c>
      <c r="G19" t="s">
        <v>72</v>
      </c>
      <c r="H19" t="s">
        <v>199</v>
      </c>
      <c r="I19" t="s">
        <v>74</v>
      </c>
      <c r="J19" t="s">
        <v>205</v>
      </c>
      <c r="K19" s="7" t="s">
        <v>206</v>
      </c>
      <c r="L19" t="s">
        <v>152</v>
      </c>
      <c r="M19" s="9" t="s">
        <v>39</v>
      </c>
      <c r="N19" s="9" t="s">
        <v>153</v>
      </c>
      <c r="O19" s="9" t="s">
        <v>126</v>
      </c>
      <c r="P19" s="9" t="s">
        <v>144</v>
      </c>
      <c r="Q19" s="9" t="b">
        <v>0</v>
      </c>
      <c r="R19" s="9" t="s">
        <v>154</v>
      </c>
      <c r="S19" s="9">
        <v>0</v>
      </c>
      <c r="T19" s="9">
        <v>0</v>
      </c>
      <c r="U19" s="9">
        <v>0</v>
      </c>
      <c r="V19" s="9" t="s">
        <v>20</v>
      </c>
      <c r="W19" s="9" t="s">
        <v>20</v>
      </c>
      <c r="X19" s="9"/>
    </row>
    <row r="20" spans="1:24" ht="130.5" x14ac:dyDescent="0.35">
      <c r="A20" t="s">
        <v>135</v>
      </c>
      <c r="B20" t="s">
        <v>136</v>
      </c>
      <c r="C20">
        <v>10</v>
      </c>
      <c r="D20">
        <v>1</v>
      </c>
      <c r="E20" t="s">
        <v>69</v>
      </c>
      <c r="F20" t="s">
        <v>137</v>
      </c>
      <c r="G20" t="s">
        <v>72</v>
      </c>
      <c r="H20" t="s">
        <v>199</v>
      </c>
      <c r="I20" t="s">
        <v>75</v>
      </c>
      <c r="J20" t="s">
        <v>207</v>
      </c>
      <c r="K20" s="7" t="s">
        <v>208</v>
      </c>
      <c r="L20" t="s">
        <v>167</v>
      </c>
      <c r="M20" s="9" t="s">
        <v>27</v>
      </c>
      <c r="N20" s="9" t="s">
        <v>175</v>
      </c>
      <c r="O20" s="9" t="s">
        <v>20</v>
      </c>
      <c r="P20" s="9" t="s">
        <v>144</v>
      </c>
      <c r="Q20" s="9" t="b">
        <v>0</v>
      </c>
      <c r="R20" s="9" t="s">
        <v>20</v>
      </c>
      <c r="S20" s="9">
        <v>0</v>
      </c>
      <c r="T20" s="9">
        <v>0</v>
      </c>
      <c r="U20" s="9">
        <v>0</v>
      </c>
      <c r="V20" s="9" t="s">
        <v>20</v>
      </c>
      <c r="W20" s="9" t="s">
        <v>20</v>
      </c>
      <c r="X20" s="9"/>
    </row>
    <row r="21" spans="1:24" ht="116" x14ac:dyDescent="0.35">
      <c r="A21" t="s">
        <v>135</v>
      </c>
      <c r="B21" t="s">
        <v>136</v>
      </c>
      <c r="C21">
        <v>10</v>
      </c>
      <c r="D21">
        <v>1</v>
      </c>
      <c r="E21" t="s">
        <v>69</v>
      </c>
      <c r="F21" t="s">
        <v>137</v>
      </c>
      <c r="G21" t="s">
        <v>72</v>
      </c>
      <c r="H21" t="s">
        <v>199</v>
      </c>
      <c r="I21" t="s">
        <v>117</v>
      </c>
      <c r="J21" t="s">
        <v>209</v>
      </c>
      <c r="K21" s="7" t="s">
        <v>210</v>
      </c>
      <c r="L21" t="s">
        <v>167</v>
      </c>
      <c r="M21" s="9" t="s">
        <v>27</v>
      </c>
      <c r="N21" s="9" t="s">
        <v>175</v>
      </c>
      <c r="O21" s="9" t="s">
        <v>20</v>
      </c>
      <c r="P21" s="9" t="s">
        <v>144</v>
      </c>
      <c r="Q21" s="9" t="b">
        <v>0</v>
      </c>
      <c r="R21" s="9" t="s">
        <v>176</v>
      </c>
      <c r="S21" s="9">
        <v>0</v>
      </c>
      <c r="T21" s="9">
        <v>0</v>
      </c>
      <c r="U21" s="9">
        <v>0</v>
      </c>
      <c r="V21" s="9" t="s">
        <v>20</v>
      </c>
      <c r="W21" s="9" t="s">
        <v>20</v>
      </c>
      <c r="X21" s="9"/>
    </row>
    <row r="22" spans="1:24" ht="116" x14ac:dyDescent="0.35">
      <c r="A22" t="s">
        <v>135</v>
      </c>
      <c r="B22" t="s">
        <v>136</v>
      </c>
      <c r="C22">
        <v>10</v>
      </c>
      <c r="D22">
        <v>1</v>
      </c>
      <c r="E22" t="s">
        <v>69</v>
      </c>
      <c r="F22" t="s">
        <v>137</v>
      </c>
      <c r="G22" t="s">
        <v>72</v>
      </c>
      <c r="H22" t="s">
        <v>199</v>
      </c>
      <c r="I22" t="s">
        <v>118</v>
      </c>
      <c r="J22" t="s">
        <v>211</v>
      </c>
      <c r="K22" s="7" t="s">
        <v>210</v>
      </c>
      <c r="L22" t="s">
        <v>167</v>
      </c>
      <c r="M22" s="9" t="s">
        <v>27</v>
      </c>
      <c r="N22" s="9" t="s">
        <v>175</v>
      </c>
      <c r="O22" s="9" t="s">
        <v>20</v>
      </c>
      <c r="P22" s="9" t="s">
        <v>144</v>
      </c>
      <c r="Q22" s="9" t="b">
        <v>0</v>
      </c>
      <c r="R22" s="9" t="s">
        <v>176</v>
      </c>
      <c r="S22" s="9">
        <v>0</v>
      </c>
      <c r="T22" s="9">
        <v>0</v>
      </c>
      <c r="U22" s="9">
        <v>0</v>
      </c>
      <c r="V22" s="9" t="s">
        <v>20</v>
      </c>
      <c r="W22" s="9" t="s">
        <v>20</v>
      </c>
      <c r="X22" s="9"/>
    </row>
    <row r="23" spans="1:24" ht="130.5" x14ac:dyDescent="0.35">
      <c r="A23" t="s">
        <v>135</v>
      </c>
      <c r="B23" t="s">
        <v>136</v>
      </c>
      <c r="C23">
        <v>10</v>
      </c>
      <c r="D23">
        <v>1</v>
      </c>
      <c r="E23" t="s">
        <v>69</v>
      </c>
      <c r="F23" t="s">
        <v>137</v>
      </c>
      <c r="G23" t="s">
        <v>72</v>
      </c>
      <c r="H23" t="s">
        <v>199</v>
      </c>
      <c r="I23" t="s">
        <v>122</v>
      </c>
      <c r="J23" t="s">
        <v>212</v>
      </c>
      <c r="K23" s="7" t="s">
        <v>213</v>
      </c>
      <c r="L23" t="s">
        <v>167</v>
      </c>
      <c r="M23" s="9" t="s">
        <v>27</v>
      </c>
      <c r="N23" s="9" t="s">
        <v>175</v>
      </c>
      <c r="O23" s="9" t="s">
        <v>20</v>
      </c>
      <c r="P23" s="9" t="s">
        <v>144</v>
      </c>
      <c r="Q23" s="9" t="b">
        <v>0</v>
      </c>
      <c r="R23" s="9" t="s">
        <v>176</v>
      </c>
      <c r="S23" s="9">
        <v>0</v>
      </c>
      <c r="T23" s="9">
        <v>0</v>
      </c>
      <c r="U23" s="9">
        <v>0</v>
      </c>
      <c r="V23" s="9" t="s">
        <v>20</v>
      </c>
      <c r="W23" s="9" t="s">
        <v>20</v>
      </c>
      <c r="X23" s="9"/>
    </row>
    <row r="24" spans="1:24" ht="174" x14ac:dyDescent="0.35">
      <c r="A24" t="s">
        <v>135</v>
      </c>
      <c r="B24" t="s">
        <v>136</v>
      </c>
      <c r="C24">
        <v>10</v>
      </c>
      <c r="D24">
        <v>1</v>
      </c>
      <c r="E24" t="s">
        <v>98</v>
      </c>
      <c r="F24" t="s">
        <v>214</v>
      </c>
      <c r="G24" t="s">
        <v>70</v>
      </c>
      <c r="H24" t="s">
        <v>215</v>
      </c>
      <c r="I24" t="s">
        <v>71</v>
      </c>
      <c r="J24" t="s">
        <v>216</v>
      </c>
      <c r="K24" s="7" t="s">
        <v>217</v>
      </c>
      <c r="L24" t="s">
        <v>218</v>
      </c>
      <c r="M24" s="9" t="s">
        <v>27</v>
      </c>
      <c r="N24" s="9" t="s">
        <v>175</v>
      </c>
      <c r="O24" s="9" t="s">
        <v>20</v>
      </c>
      <c r="P24" s="9" t="s">
        <v>144</v>
      </c>
      <c r="Q24" s="9" t="b">
        <v>0</v>
      </c>
      <c r="R24" s="9" t="s">
        <v>219</v>
      </c>
      <c r="S24" s="9">
        <v>0</v>
      </c>
      <c r="T24" s="9">
        <v>0</v>
      </c>
      <c r="U24" s="9">
        <v>0</v>
      </c>
      <c r="V24" s="9" t="s">
        <v>20</v>
      </c>
      <c r="W24" s="9" t="s">
        <v>20</v>
      </c>
      <c r="X24" s="9"/>
    </row>
    <row r="25" spans="1:24" ht="159.5" x14ac:dyDescent="0.35">
      <c r="A25" t="s">
        <v>135</v>
      </c>
      <c r="B25" t="s">
        <v>136</v>
      </c>
      <c r="C25">
        <v>10</v>
      </c>
      <c r="D25">
        <v>1</v>
      </c>
      <c r="E25" t="s">
        <v>98</v>
      </c>
      <c r="F25" t="s">
        <v>214</v>
      </c>
      <c r="G25" t="s">
        <v>72</v>
      </c>
      <c r="H25" t="s">
        <v>220</v>
      </c>
      <c r="I25" t="s">
        <v>71</v>
      </c>
      <c r="J25" t="s">
        <v>221</v>
      </c>
      <c r="K25" s="7" t="s">
        <v>222</v>
      </c>
      <c r="L25" t="s">
        <v>167</v>
      </c>
      <c r="M25" s="9" t="s">
        <v>27</v>
      </c>
      <c r="N25" s="9" t="s">
        <v>175</v>
      </c>
      <c r="O25" s="9" t="s">
        <v>20</v>
      </c>
      <c r="P25" s="9" t="s">
        <v>144</v>
      </c>
      <c r="Q25" s="9" t="b">
        <v>0</v>
      </c>
      <c r="R25" s="9" t="s">
        <v>219</v>
      </c>
      <c r="S25" s="9">
        <v>0</v>
      </c>
      <c r="T25" s="9">
        <v>0</v>
      </c>
      <c r="U25" s="9">
        <v>0</v>
      </c>
      <c r="V25" s="9" t="s">
        <v>20</v>
      </c>
      <c r="W25" s="9" t="s">
        <v>20</v>
      </c>
      <c r="X25" s="9"/>
    </row>
    <row r="26" spans="1:24" ht="159.5" x14ac:dyDescent="0.35">
      <c r="A26" t="s">
        <v>135</v>
      </c>
      <c r="B26" t="s">
        <v>136</v>
      </c>
      <c r="C26">
        <v>10</v>
      </c>
      <c r="D26">
        <v>1</v>
      </c>
      <c r="E26" t="s">
        <v>98</v>
      </c>
      <c r="F26" t="s">
        <v>214</v>
      </c>
      <c r="G26" t="s">
        <v>97</v>
      </c>
      <c r="H26" t="s">
        <v>223</v>
      </c>
      <c r="I26" t="s">
        <v>71</v>
      </c>
      <c r="J26" t="s">
        <v>224</v>
      </c>
      <c r="K26" s="7" t="s">
        <v>225</v>
      </c>
      <c r="L26" t="s">
        <v>167</v>
      </c>
      <c r="M26" s="9" t="s">
        <v>27</v>
      </c>
      <c r="N26" s="9" t="s">
        <v>175</v>
      </c>
      <c r="O26" s="9" t="s">
        <v>20</v>
      </c>
      <c r="P26" s="9" t="s">
        <v>144</v>
      </c>
      <c r="Q26" s="9" t="b">
        <v>0</v>
      </c>
      <c r="R26" s="9" t="s">
        <v>219</v>
      </c>
      <c r="S26" s="9">
        <v>0</v>
      </c>
      <c r="T26" s="9">
        <v>0</v>
      </c>
      <c r="U26" s="9">
        <v>0</v>
      </c>
      <c r="V26" s="9" t="s">
        <v>20</v>
      </c>
      <c r="W26" s="9" t="s">
        <v>20</v>
      </c>
      <c r="X26" s="9"/>
    </row>
    <row r="27" spans="1:24" ht="101.5" x14ac:dyDescent="0.35">
      <c r="A27" t="s">
        <v>135</v>
      </c>
      <c r="B27" t="s">
        <v>136</v>
      </c>
      <c r="C27">
        <v>10</v>
      </c>
      <c r="D27">
        <v>1</v>
      </c>
      <c r="E27" t="s">
        <v>76</v>
      </c>
      <c r="F27" t="s">
        <v>226</v>
      </c>
      <c r="G27" t="s">
        <v>70</v>
      </c>
      <c r="H27" t="s">
        <v>227</v>
      </c>
      <c r="I27" t="s">
        <v>71</v>
      </c>
      <c r="J27" t="s">
        <v>139</v>
      </c>
      <c r="K27" s="7" t="s">
        <v>228</v>
      </c>
      <c r="L27" t="s">
        <v>141</v>
      </c>
      <c r="M27" s="9" t="s">
        <v>25</v>
      </c>
      <c r="N27" s="9" t="s">
        <v>142</v>
      </c>
      <c r="O27" s="9" t="s">
        <v>143</v>
      </c>
      <c r="P27" s="9" t="s">
        <v>144</v>
      </c>
      <c r="Q27" s="9" t="b">
        <v>0</v>
      </c>
      <c r="R27" s="9" t="s">
        <v>145</v>
      </c>
      <c r="S27" s="9">
        <v>0</v>
      </c>
      <c r="T27" s="9">
        <v>0</v>
      </c>
      <c r="U27" s="9">
        <v>0</v>
      </c>
      <c r="V27" s="9" t="s">
        <v>20</v>
      </c>
      <c r="W27" s="9" t="s">
        <v>20</v>
      </c>
      <c r="X27" s="9"/>
    </row>
    <row r="28" spans="1:24" ht="87" x14ac:dyDescent="0.35">
      <c r="A28" t="s">
        <v>135</v>
      </c>
      <c r="B28" t="s">
        <v>136</v>
      </c>
      <c r="C28">
        <v>10</v>
      </c>
      <c r="D28">
        <v>1</v>
      </c>
      <c r="E28" t="s">
        <v>76</v>
      </c>
      <c r="F28" t="s">
        <v>226</v>
      </c>
      <c r="G28" t="s">
        <v>70</v>
      </c>
      <c r="H28" t="s">
        <v>227</v>
      </c>
      <c r="I28" t="s">
        <v>73</v>
      </c>
      <c r="J28" t="s">
        <v>146</v>
      </c>
      <c r="K28" s="7" t="s">
        <v>229</v>
      </c>
      <c r="L28" t="s">
        <v>141</v>
      </c>
      <c r="M28" s="9" t="s">
        <v>25</v>
      </c>
      <c r="N28" s="9" t="s">
        <v>142</v>
      </c>
      <c r="O28" s="9" t="s">
        <v>143</v>
      </c>
      <c r="P28" s="9" t="s">
        <v>144</v>
      </c>
      <c r="Q28" s="9" t="b">
        <v>0</v>
      </c>
      <c r="R28" s="9" t="s">
        <v>145</v>
      </c>
      <c r="S28" s="9">
        <v>0</v>
      </c>
      <c r="T28" s="9">
        <v>0</v>
      </c>
      <c r="U28" s="9">
        <v>0</v>
      </c>
      <c r="V28" s="9" t="s">
        <v>20</v>
      </c>
      <c r="W28" s="9" t="s">
        <v>20</v>
      </c>
      <c r="X28" s="9"/>
    </row>
    <row r="29" spans="1:24" ht="101.5" x14ac:dyDescent="0.35">
      <c r="A29" t="s">
        <v>135</v>
      </c>
      <c r="B29" t="s">
        <v>136</v>
      </c>
      <c r="C29">
        <v>10</v>
      </c>
      <c r="D29">
        <v>1</v>
      </c>
      <c r="E29" t="s">
        <v>76</v>
      </c>
      <c r="F29" t="s">
        <v>226</v>
      </c>
      <c r="G29" t="s">
        <v>70</v>
      </c>
      <c r="H29" t="s">
        <v>227</v>
      </c>
      <c r="I29" t="s">
        <v>74</v>
      </c>
      <c r="J29" t="s">
        <v>148</v>
      </c>
      <c r="K29" s="7" t="s">
        <v>230</v>
      </c>
      <c r="L29" t="s">
        <v>141</v>
      </c>
      <c r="M29" s="9" t="s">
        <v>25</v>
      </c>
      <c r="N29" s="9" t="s">
        <v>142</v>
      </c>
      <c r="O29" s="9" t="s">
        <v>143</v>
      </c>
      <c r="P29" s="9" t="s">
        <v>144</v>
      </c>
      <c r="Q29" s="9" t="b">
        <v>0</v>
      </c>
      <c r="R29" s="9" t="s">
        <v>145</v>
      </c>
      <c r="S29" s="9">
        <v>0</v>
      </c>
      <c r="T29" s="9">
        <v>0</v>
      </c>
      <c r="U29" s="9">
        <v>0</v>
      </c>
      <c r="V29" s="9" t="s">
        <v>20</v>
      </c>
      <c r="W29" s="9" t="s">
        <v>20</v>
      </c>
      <c r="X29" s="9"/>
    </row>
    <row r="30" spans="1:24" ht="87" x14ac:dyDescent="0.35">
      <c r="A30" t="s">
        <v>135</v>
      </c>
      <c r="B30" t="s">
        <v>136</v>
      </c>
      <c r="C30">
        <v>10</v>
      </c>
      <c r="D30">
        <v>1</v>
      </c>
      <c r="E30" t="s">
        <v>76</v>
      </c>
      <c r="F30" t="s">
        <v>226</v>
      </c>
      <c r="G30" t="s">
        <v>70</v>
      </c>
      <c r="H30" t="s">
        <v>227</v>
      </c>
      <c r="I30" t="s">
        <v>75</v>
      </c>
      <c r="J30" t="s">
        <v>150</v>
      </c>
      <c r="K30" s="7" t="s">
        <v>231</v>
      </c>
      <c r="L30" t="s">
        <v>152</v>
      </c>
      <c r="M30" s="9" t="s">
        <v>39</v>
      </c>
      <c r="N30" s="9" t="s">
        <v>153</v>
      </c>
      <c r="O30" s="9" t="s">
        <v>126</v>
      </c>
      <c r="P30" s="9" t="s">
        <v>144</v>
      </c>
      <c r="Q30" s="9" t="b">
        <v>0</v>
      </c>
      <c r="R30" s="9" t="s">
        <v>20</v>
      </c>
      <c r="S30" s="9">
        <v>0</v>
      </c>
      <c r="T30" s="9">
        <v>0</v>
      </c>
      <c r="U30" s="9">
        <v>0</v>
      </c>
      <c r="V30" s="9" t="s">
        <v>20</v>
      </c>
      <c r="W30" s="9" t="s">
        <v>20</v>
      </c>
      <c r="X30" s="9"/>
    </row>
    <row r="31" spans="1:24" ht="87" x14ac:dyDescent="0.35">
      <c r="A31" t="s">
        <v>135</v>
      </c>
      <c r="B31" t="s">
        <v>136</v>
      </c>
      <c r="C31">
        <v>10</v>
      </c>
      <c r="D31">
        <v>1</v>
      </c>
      <c r="E31" t="s">
        <v>76</v>
      </c>
      <c r="F31" t="s">
        <v>226</v>
      </c>
      <c r="G31" t="s">
        <v>70</v>
      </c>
      <c r="H31" t="s">
        <v>227</v>
      </c>
      <c r="I31" t="s">
        <v>117</v>
      </c>
      <c r="J31" t="s">
        <v>232</v>
      </c>
      <c r="K31" s="7" t="s">
        <v>233</v>
      </c>
      <c r="L31" t="s">
        <v>141</v>
      </c>
      <c r="M31" s="9" t="s">
        <v>25</v>
      </c>
      <c r="N31" s="9" t="s">
        <v>157</v>
      </c>
      <c r="O31" s="9" t="s">
        <v>20</v>
      </c>
      <c r="P31" s="9" t="s">
        <v>20</v>
      </c>
      <c r="Q31" s="9" t="b">
        <v>0</v>
      </c>
      <c r="R31" s="9" t="s">
        <v>164</v>
      </c>
      <c r="S31" s="9">
        <v>0</v>
      </c>
      <c r="T31" s="9">
        <v>0</v>
      </c>
      <c r="U31" s="9">
        <v>0</v>
      </c>
      <c r="V31" s="9" t="s">
        <v>20</v>
      </c>
      <c r="W31" s="9" t="s">
        <v>20</v>
      </c>
      <c r="X31" s="9"/>
    </row>
    <row r="32" spans="1:24" ht="87" x14ac:dyDescent="0.35">
      <c r="A32" t="s">
        <v>135</v>
      </c>
      <c r="B32" t="s">
        <v>136</v>
      </c>
      <c r="C32">
        <v>10</v>
      </c>
      <c r="D32">
        <v>1</v>
      </c>
      <c r="E32" t="s">
        <v>76</v>
      </c>
      <c r="F32" t="s">
        <v>226</v>
      </c>
      <c r="G32" t="s">
        <v>70</v>
      </c>
      <c r="H32" t="s">
        <v>227</v>
      </c>
      <c r="I32" t="s">
        <v>118</v>
      </c>
      <c r="J32" t="s">
        <v>160</v>
      </c>
      <c r="K32" s="7" t="s">
        <v>234</v>
      </c>
      <c r="L32" t="s">
        <v>125</v>
      </c>
      <c r="M32" s="9" t="s">
        <v>23</v>
      </c>
      <c r="N32" s="9" t="s">
        <v>162</v>
      </c>
      <c r="O32" s="9" t="s">
        <v>126</v>
      </c>
      <c r="P32" s="9" t="s">
        <v>163</v>
      </c>
      <c r="Q32" s="9" t="b">
        <v>0</v>
      </c>
      <c r="R32" s="9" t="s">
        <v>164</v>
      </c>
      <c r="S32" s="9">
        <v>0</v>
      </c>
      <c r="T32" s="9">
        <v>0</v>
      </c>
      <c r="U32" s="9">
        <v>0</v>
      </c>
      <c r="V32" s="9" t="s">
        <v>20</v>
      </c>
      <c r="W32" s="9" t="s">
        <v>20</v>
      </c>
      <c r="X32" s="9"/>
    </row>
    <row r="33" spans="1:24" ht="87" x14ac:dyDescent="0.35">
      <c r="A33" t="s">
        <v>135</v>
      </c>
      <c r="B33" t="s">
        <v>136</v>
      </c>
      <c r="C33">
        <v>10</v>
      </c>
      <c r="D33">
        <v>1</v>
      </c>
      <c r="E33" t="s">
        <v>76</v>
      </c>
      <c r="F33" t="s">
        <v>226</v>
      </c>
      <c r="G33" t="s">
        <v>70</v>
      </c>
      <c r="H33" t="s">
        <v>227</v>
      </c>
      <c r="I33" t="s">
        <v>122</v>
      </c>
      <c r="J33" t="s">
        <v>235</v>
      </c>
      <c r="K33" s="7" t="s">
        <v>236</v>
      </c>
      <c r="L33" t="s">
        <v>167</v>
      </c>
      <c r="M33" s="9" t="s">
        <v>27</v>
      </c>
      <c r="N33" s="9" t="s">
        <v>168</v>
      </c>
      <c r="O33" s="9" t="s">
        <v>20</v>
      </c>
      <c r="P33" s="9" t="s">
        <v>163</v>
      </c>
      <c r="Q33" s="9" t="b">
        <v>0</v>
      </c>
      <c r="R33" s="9" t="s">
        <v>169</v>
      </c>
      <c r="S33" s="9">
        <v>0</v>
      </c>
      <c r="T33" s="9">
        <v>0</v>
      </c>
      <c r="U33" s="9">
        <v>0</v>
      </c>
      <c r="V33" s="9" t="s">
        <v>20</v>
      </c>
      <c r="W33" s="9" t="s">
        <v>20</v>
      </c>
      <c r="X33" s="9"/>
    </row>
    <row r="34" spans="1:24" ht="145" x14ac:dyDescent="0.35">
      <c r="A34" t="s">
        <v>135</v>
      </c>
      <c r="B34" t="s">
        <v>136</v>
      </c>
      <c r="C34">
        <v>10</v>
      </c>
      <c r="D34">
        <v>1</v>
      </c>
      <c r="E34" t="s">
        <v>76</v>
      </c>
      <c r="F34" t="s">
        <v>226</v>
      </c>
      <c r="G34" t="s">
        <v>70</v>
      </c>
      <c r="H34" t="s">
        <v>227</v>
      </c>
      <c r="I34" t="s">
        <v>123</v>
      </c>
      <c r="J34" t="s">
        <v>170</v>
      </c>
      <c r="K34" s="7" t="s">
        <v>237</v>
      </c>
      <c r="L34" t="s">
        <v>119</v>
      </c>
      <c r="M34" s="9" t="s">
        <v>23</v>
      </c>
      <c r="N34" s="9" t="s">
        <v>162</v>
      </c>
      <c r="O34" s="9" t="s">
        <v>126</v>
      </c>
      <c r="P34" s="9" t="s">
        <v>163</v>
      </c>
      <c r="Q34" s="9" t="b">
        <v>0</v>
      </c>
      <c r="R34" s="9" t="s">
        <v>20</v>
      </c>
      <c r="S34" s="9">
        <v>0</v>
      </c>
      <c r="T34" s="9">
        <v>0</v>
      </c>
      <c r="U34" s="9">
        <v>0</v>
      </c>
      <c r="V34" s="9" t="s">
        <v>20</v>
      </c>
      <c r="W34" s="9" t="s">
        <v>20</v>
      </c>
      <c r="X34" s="9"/>
    </row>
    <row r="35" spans="1:24" ht="101.5" x14ac:dyDescent="0.35">
      <c r="A35" t="s">
        <v>135</v>
      </c>
      <c r="B35" t="s">
        <v>136</v>
      </c>
      <c r="C35">
        <v>10</v>
      </c>
      <c r="D35">
        <v>1</v>
      </c>
      <c r="E35" t="s">
        <v>76</v>
      </c>
      <c r="F35" t="s">
        <v>226</v>
      </c>
      <c r="G35" t="s">
        <v>70</v>
      </c>
      <c r="H35" t="s">
        <v>227</v>
      </c>
      <c r="I35" t="s">
        <v>124</v>
      </c>
      <c r="J35" t="s">
        <v>173</v>
      </c>
      <c r="K35" s="7" t="s">
        <v>238</v>
      </c>
      <c r="L35" t="s">
        <v>167</v>
      </c>
      <c r="M35" s="9" t="s">
        <v>27</v>
      </c>
      <c r="N35" s="9" t="s">
        <v>175</v>
      </c>
      <c r="O35" s="9" t="s">
        <v>20</v>
      </c>
      <c r="P35" s="9" t="s">
        <v>144</v>
      </c>
      <c r="Q35" s="9" t="b">
        <v>0</v>
      </c>
      <c r="R35" s="9" t="s">
        <v>20</v>
      </c>
      <c r="S35" s="9">
        <v>0</v>
      </c>
      <c r="T35" s="9">
        <v>0</v>
      </c>
      <c r="U35" s="9">
        <v>0</v>
      </c>
      <c r="V35" s="9" t="s">
        <v>20</v>
      </c>
      <c r="W35" s="9" t="s">
        <v>20</v>
      </c>
      <c r="X35" s="9"/>
    </row>
    <row r="36" spans="1:24" ht="87" x14ac:dyDescent="0.35">
      <c r="A36" t="s">
        <v>135</v>
      </c>
      <c r="B36" t="s">
        <v>136</v>
      </c>
      <c r="C36">
        <v>10</v>
      </c>
      <c r="D36">
        <v>1</v>
      </c>
      <c r="E36" t="s">
        <v>76</v>
      </c>
      <c r="F36" t="s">
        <v>226</v>
      </c>
      <c r="G36" t="s">
        <v>70</v>
      </c>
      <c r="H36" t="s">
        <v>227</v>
      </c>
      <c r="I36" t="s">
        <v>127</v>
      </c>
      <c r="J36" t="s">
        <v>178</v>
      </c>
      <c r="K36" s="7" t="s">
        <v>239</v>
      </c>
      <c r="L36" t="s">
        <v>125</v>
      </c>
      <c r="M36" s="9" t="s">
        <v>23</v>
      </c>
      <c r="N36" s="9" t="s">
        <v>180</v>
      </c>
      <c r="O36" s="9" t="s">
        <v>126</v>
      </c>
      <c r="P36" s="9" t="s">
        <v>144</v>
      </c>
      <c r="Q36" s="9" t="b">
        <v>0</v>
      </c>
      <c r="R36" s="9" t="s">
        <v>20</v>
      </c>
      <c r="S36" s="9">
        <v>0</v>
      </c>
      <c r="T36" s="9">
        <v>0</v>
      </c>
      <c r="U36" s="9">
        <v>0</v>
      </c>
      <c r="V36" s="9" t="s">
        <v>20</v>
      </c>
      <c r="W36" s="9" t="s">
        <v>20</v>
      </c>
      <c r="X36" s="9"/>
    </row>
    <row r="37" spans="1:24" ht="87" x14ac:dyDescent="0.35">
      <c r="A37" t="s">
        <v>135</v>
      </c>
      <c r="B37" t="s">
        <v>136</v>
      </c>
      <c r="C37">
        <v>10</v>
      </c>
      <c r="D37">
        <v>1</v>
      </c>
      <c r="E37" t="s">
        <v>76</v>
      </c>
      <c r="F37" t="s">
        <v>226</v>
      </c>
      <c r="G37" t="s">
        <v>70</v>
      </c>
      <c r="H37" t="s">
        <v>227</v>
      </c>
      <c r="I37" t="s">
        <v>172</v>
      </c>
      <c r="J37" t="s">
        <v>182</v>
      </c>
      <c r="K37" s="7" t="s">
        <v>240</v>
      </c>
      <c r="L37" t="s">
        <v>167</v>
      </c>
      <c r="M37" s="9" t="s">
        <v>27</v>
      </c>
      <c r="N37" s="9" t="s">
        <v>175</v>
      </c>
      <c r="O37" s="9" t="s">
        <v>20</v>
      </c>
      <c r="P37" s="9" t="s">
        <v>144</v>
      </c>
      <c r="Q37" s="9" t="b">
        <v>0</v>
      </c>
      <c r="R37" s="9" t="s">
        <v>20</v>
      </c>
      <c r="S37" s="9">
        <v>0</v>
      </c>
      <c r="T37" s="9">
        <v>0</v>
      </c>
      <c r="U37" s="9">
        <v>0</v>
      </c>
      <c r="V37" s="9" t="s">
        <v>20</v>
      </c>
      <c r="W37" s="9" t="s">
        <v>20</v>
      </c>
      <c r="X37" s="9"/>
    </row>
    <row r="38" spans="1:24" ht="87" x14ac:dyDescent="0.35">
      <c r="A38" t="s">
        <v>135</v>
      </c>
      <c r="B38" t="s">
        <v>136</v>
      </c>
      <c r="C38">
        <v>10</v>
      </c>
      <c r="D38">
        <v>1</v>
      </c>
      <c r="E38" t="s">
        <v>76</v>
      </c>
      <c r="F38" t="s">
        <v>226</v>
      </c>
      <c r="G38" t="s">
        <v>70</v>
      </c>
      <c r="H38" t="s">
        <v>227</v>
      </c>
      <c r="I38" t="s">
        <v>177</v>
      </c>
      <c r="J38" t="s">
        <v>191</v>
      </c>
      <c r="K38" s="7" t="s">
        <v>241</v>
      </c>
      <c r="L38" t="s">
        <v>125</v>
      </c>
      <c r="M38" s="9" t="s">
        <v>23</v>
      </c>
      <c r="N38" s="9" t="s">
        <v>180</v>
      </c>
      <c r="O38" s="9" t="s">
        <v>126</v>
      </c>
      <c r="P38" s="9" t="s">
        <v>144</v>
      </c>
      <c r="Q38" s="9" t="b">
        <v>0</v>
      </c>
      <c r="R38" s="9" t="s">
        <v>20</v>
      </c>
      <c r="S38" s="9">
        <v>0</v>
      </c>
      <c r="T38" s="9">
        <v>0</v>
      </c>
      <c r="U38" s="9">
        <v>0</v>
      </c>
      <c r="V38" s="9" t="s">
        <v>20</v>
      </c>
      <c r="W38" s="9" t="s">
        <v>20</v>
      </c>
      <c r="X38" s="9"/>
    </row>
    <row r="39" spans="1:24" ht="87" x14ac:dyDescent="0.35">
      <c r="A39" t="s">
        <v>135</v>
      </c>
      <c r="B39" t="s">
        <v>136</v>
      </c>
      <c r="C39">
        <v>10</v>
      </c>
      <c r="D39">
        <v>1</v>
      </c>
      <c r="E39" t="s">
        <v>76</v>
      </c>
      <c r="F39" t="s">
        <v>226</v>
      </c>
      <c r="G39" t="s">
        <v>70</v>
      </c>
      <c r="H39" t="s">
        <v>227</v>
      </c>
      <c r="I39" t="s">
        <v>242</v>
      </c>
      <c r="J39" t="s">
        <v>194</v>
      </c>
      <c r="K39" s="7" t="s">
        <v>243</v>
      </c>
      <c r="L39" t="s">
        <v>119</v>
      </c>
      <c r="M39" s="9" t="s">
        <v>23</v>
      </c>
      <c r="N39" s="9" t="s">
        <v>180</v>
      </c>
      <c r="O39" s="9" t="s">
        <v>126</v>
      </c>
      <c r="P39" s="9" t="s">
        <v>144</v>
      </c>
      <c r="Q39" s="9" t="b">
        <v>0</v>
      </c>
      <c r="R39" s="9" t="s">
        <v>20</v>
      </c>
      <c r="S39" s="9">
        <v>0</v>
      </c>
      <c r="T39" s="9">
        <v>0</v>
      </c>
      <c r="U39" s="9">
        <v>0</v>
      </c>
      <c r="V39" s="9" t="s">
        <v>20</v>
      </c>
      <c r="W39" s="9" t="s">
        <v>20</v>
      </c>
      <c r="X39" s="9"/>
    </row>
    <row r="40" spans="1:24" ht="87" x14ac:dyDescent="0.35">
      <c r="A40" t="s">
        <v>135</v>
      </c>
      <c r="B40" t="s">
        <v>136</v>
      </c>
      <c r="C40">
        <v>10</v>
      </c>
      <c r="D40">
        <v>1</v>
      </c>
      <c r="E40" t="s">
        <v>76</v>
      </c>
      <c r="F40" t="s">
        <v>226</v>
      </c>
      <c r="G40" t="s">
        <v>70</v>
      </c>
      <c r="H40" t="s">
        <v>227</v>
      </c>
      <c r="I40" t="s">
        <v>244</v>
      </c>
      <c r="J40" t="s">
        <v>197</v>
      </c>
      <c r="K40" s="7" t="s">
        <v>245</v>
      </c>
      <c r="L40" t="s">
        <v>119</v>
      </c>
      <c r="M40" s="9" t="s">
        <v>23</v>
      </c>
      <c r="N40" s="9" t="s">
        <v>180</v>
      </c>
      <c r="O40" s="9" t="s">
        <v>126</v>
      </c>
      <c r="P40" s="9" t="s">
        <v>144</v>
      </c>
      <c r="Q40" s="9" t="b">
        <v>0</v>
      </c>
      <c r="R40" s="9" t="s">
        <v>20</v>
      </c>
      <c r="S40" s="9">
        <v>0</v>
      </c>
      <c r="T40" s="9">
        <v>0</v>
      </c>
      <c r="U40" s="9">
        <v>0</v>
      </c>
      <c r="V40" s="9" t="s">
        <v>20</v>
      </c>
      <c r="W40" s="9" t="s">
        <v>20</v>
      </c>
      <c r="X40" s="9"/>
    </row>
    <row r="41" spans="1:24" ht="72.5" x14ac:dyDescent="0.35">
      <c r="A41" t="s">
        <v>135</v>
      </c>
      <c r="B41" t="s">
        <v>136</v>
      </c>
      <c r="C41">
        <v>10</v>
      </c>
      <c r="D41">
        <v>1</v>
      </c>
      <c r="E41" t="s">
        <v>76</v>
      </c>
      <c r="F41" t="s">
        <v>226</v>
      </c>
      <c r="G41" t="s">
        <v>72</v>
      </c>
      <c r="H41" t="s">
        <v>246</v>
      </c>
      <c r="I41" t="s">
        <v>71</v>
      </c>
      <c r="J41" t="s">
        <v>200</v>
      </c>
      <c r="K41" s="7" t="s">
        <v>247</v>
      </c>
      <c r="L41" t="s">
        <v>167</v>
      </c>
      <c r="M41" s="9" t="s">
        <v>27</v>
      </c>
      <c r="N41" s="9" t="s">
        <v>175</v>
      </c>
      <c r="O41" s="9" t="s">
        <v>20</v>
      </c>
      <c r="P41" s="9" t="s">
        <v>144</v>
      </c>
      <c r="Q41" s="9" t="b">
        <v>0</v>
      </c>
      <c r="R41" s="9" t="s">
        <v>20</v>
      </c>
      <c r="S41" s="9">
        <v>0</v>
      </c>
      <c r="T41" s="9">
        <v>0</v>
      </c>
      <c r="U41" s="9">
        <v>0</v>
      </c>
      <c r="V41" s="9" t="s">
        <v>20</v>
      </c>
      <c r="W41" s="9" t="s">
        <v>20</v>
      </c>
      <c r="X41" s="9"/>
    </row>
    <row r="42" spans="1:24" ht="72.5" x14ac:dyDescent="0.35">
      <c r="A42" t="s">
        <v>135</v>
      </c>
      <c r="B42" t="s">
        <v>136</v>
      </c>
      <c r="C42">
        <v>10</v>
      </c>
      <c r="D42">
        <v>1</v>
      </c>
      <c r="E42" t="s">
        <v>76</v>
      </c>
      <c r="F42" t="s">
        <v>226</v>
      </c>
      <c r="G42" t="s">
        <v>72</v>
      </c>
      <c r="H42" t="s">
        <v>246</v>
      </c>
      <c r="I42" t="s">
        <v>74</v>
      </c>
      <c r="J42" t="s">
        <v>205</v>
      </c>
      <c r="K42" s="7" t="s">
        <v>248</v>
      </c>
      <c r="L42" t="s">
        <v>152</v>
      </c>
      <c r="M42" s="9" t="s">
        <v>39</v>
      </c>
      <c r="N42" s="9" t="s">
        <v>153</v>
      </c>
      <c r="O42" s="9" t="s">
        <v>126</v>
      </c>
      <c r="P42" s="9" t="s">
        <v>144</v>
      </c>
      <c r="Q42" s="9" t="b">
        <v>0</v>
      </c>
      <c r="R42" s="9" t="s">
        <v>20</v>
      </c>
      <c r="S42" s="9">
        <v>0</v>
      </c>
      <c r="T42" s="9">
        <v>0</v>
      </c>
      <c r="U42" s="9">
        <v>0</v>
      </c>
      <c r="V42" s="9" t="s">
        <v>20</v>
      </c>
      <c r="W42" s="9" t="s">
        <v>20</v>
      </c>
      <c r="X42" s="9"/>
    </row>
    <row r="43" spans="1:24" ht="72.5" x14ac:dyDescent="0.35">
      <c r="A43" t="s">
        <v>135</v>
      </c>
      <c r="B43" t="s">
        <v>136</v>
      </c>
      <c r="C43">
        <v>10</v>
      </c>
      <c r="D43">
        <v>1</v>
      </c>
      <c r="E43" t="s">
        <v>76</v>
      </c>
      <c r="F43" t="s">
        <v>226</v>
      </c>
      <c r="G43" t="s">
        <v>72</v>
      </c>
      <c r="H43" t="s">
        <v>246</v>
      </c>
      <c r="I43" t="s">
        <v>75</v>
      </c>
      <c r="J43" t="s">
        <v>207</v>
      </c>
      <c r="K43" s="7" t="s">
        <v>247</v>
      </c>
      <c r="L43" t="s">
        <v>167</v>
      </c>
      <c r="M43" s="9" t="s">
        <v>27</v>
      </c>
      <c r="N43" s="9" t="s">
        <v>175</v>
      </c>
      <c r="O43" s="9" t="s">
        <v>20</v>
      </c>
      <c r="P43" s="9" t="s">
        <v>144</v>
      </c>
      <c r="Q43" s="9" t="b">
        <v>0</v>
      </c>
      <c r="R43" s="9" t="s">
        <v>20</v>
      </c>
      <c r="S43" s="9">
        <v>0</v>
      </c>
      <c r="T43" s="9">
        <v>0</v>
      </c>
      <c r="U43" s="9">
        <v>0</v>
      </c>
      <c r="V43" s="9" t="s">
        <v>20</v>
      </c>
      <c r="W43" s="9" t="s">
        <v>20</v>
      </c>
      <c r="X43" s="9"/>
    </row>
    <row r="44" spans="1:24" ht="58" x14ac:dyDescent="0.35">
      <c r="A44" t="s">
        <v>135</v>
      </c>
      <c r="B44" t="s">
        <v>136</v>
      </c>
      <c r="C44">
        <v>10</v>
      </c>
      <c r="D44">
        <v>1</v>
      </c>
      <c r="E44" t="s">
        <v>76</v>
      </c>
      <c r="F44" t="s">
        <v>226</v>
      </c>
      <c r="G44" t="s">
        <v>72</v>
      </c>
      <c r="H44" t="s">
        <v>246</v>
      </c>
      <c r="I44" t="s">
        <v>117</v>
      </c>
      <c r="J44" t="s">
        <v>209</v>
      </c>
      <c r="K44" s="7" t="s">
        <v>249</v>
      </c>
      <c r="L44" t="s">
        <v>167</v>
      </c>
      <c r="M44" s="9" t="s">
        <v>27</v>
      </c>
      <c r="N44" s="9" t="s">
        <v>175</v>
      </c>
      <c r="O44" s="9" t="s">
        <v>20</v>
      </c>
      <c r="P44" s="9" t="s">
        <v>144</v>
      </c>
      <c r="Q44" s="9" t="b">
        <v>0</v>
      </c>
      <c r="R44" s="9" t="s">
        <v>20</v>
      </c>
      <c r="S44" s="9">
        <v>0</v>
      </c>
      <c r="T44" s="9">
        <v>0</v>
      </c>
      <c r="U44" s="9">
        <v>0</v>
      </c>
      <c r="V44" s="9" t="s">
        <v>20</v>
      </c>
      <c r="W44" s="9" t="s">
        <v>20</v>
      </c>
      <c r="X44" s="9"/>
    </row>
    <row r="45" spans="1:24" ht="58" x14ac:dyDescent="0.35">
      <c r="A45" t="s">
        <v>135</v>
      </c>
      <c r="B45" t="s">
        <v>136</v>
      </c>
      <c r="C45">
        <v>10</v>
      </c>
      <c r="D45">
        <v>1</v>
      </c>
      <c r="E45" t="s">
        <v>76</v>
      </c>
      <c r="F45" t="s">
        <v>226</v>
      </c>
      <c r="G45" t="s">
        <v>72</v>
      </c>
      <c r="H45" t="s">
        <v>246</v>
      </c>
      <c r="I45" t="s">
        <v>118</v>
      </c>
      <c r="J45" t="s">
        <v>211</v>
      </c>
      <c r="K45" s="7" t="s">
        <v>249</v>
      </c>
      <c r="L45" t="s">
        <v>167</v>
      </c>
      <c r="M45" s="9" t="s">
        <v>27</v>
      </c>
      <c r="N45" s="9" t="s">
        <v>175</v>
      </c>
      <c r="O45" s="9" t="s">
        <v>20</v>
      </c>
      <c r="P45" s="9" t="s">
        <v>144</v>
      </c>
      <c r="Q45" s="9" t="b">
        <v>0</v>
      </c>
      <c r="R45" s="9" t="s">
        <v>20</v>
      </c>
      <c r="S45" s="9">
        <v>0</v>
      </c>
      <c r="T45" s="9">
        <v>0</v>
      </c>
      <c r="U45" s="9">
        <v>0</v>
      </c>
      <c r="V45" s="9" t="s">
        <v>20</v>
      </c>
      <c r="W45" s="9" t="s">
        <v>20</v>
      </c>
      <c r="X45" s="9"/>
    </row>
    <row r="46" spans="1:24" ht="58" x14ac:dyDescent="0.35">
      <c r="A46" t="s">
        <v>135</v>
      </c>
      <c r="B46" t="s">
        <v>136</v>
      </c>
      <c r="C46">
        <v>10</v>
      </c>
      <c r="D46">
        <v>1</v>
      </c>
      <c r="E46" t="s">
        <v>76</v>
      </c>
      <c r="F46" t="s">
        <v>226</v>
      </c>
      <c r="G46" t="s">
        <v>72</v>
      </c>
      <c r="H46" t="s">
        <v>246</v>
      </c>
      <c r="I46" t="s">
        <v>122</v>
      </c>
      <c r="J46" t="s">
        <v>212</v>
      </c>
      <c r="K46" s="7" t="s">
        <v>249</v>
      </c>
      <c r="L46" t="s">
        <v>167</v>
      </c>
      <c r="M46" s="9" t="s">
        <v>27</v>
      </c>
      <c r="N46" s="9" t="s">
        <v>175</v>
      </c>
      <c r="O46" s="9" t="s">
        <v>20</v>
      </c>
      <c r="P46" s="9" t="s">
        <v>144</v>
      </c>
      <c r="Q46" s="9" t="b">
        <v>0</v>
      </c>
      <c r="R46" s="9" t="s">
        <v>20</v>
      </c>
      <c r="S46" s="9">
        <v>0</v>
      </c>
      <c r="T46" s="9">
        <v>0</v>
      </c>
      <c r="U46" s="9">
        <v>0</v>
      </c>
      <c r="V46" s="9" t="s">
        <v>20</v>
      </c>
      <c r="W46" s="9" t="s">
        <v>20</v>
      </c>
      <c r="X46" s="9"/>
    </row>
    <row r="47" spans="1:24" ht="116" x14ac:dyDescent="0.35">
      <c r="A47" t="s">
        <v>135</v>
      </c>
      <c r="B47" t="s">
        <v>136</v>
      </c>
      <c r="C47">
        <v>10</v>
      </c>
      <c r="D47">
        <v>1</v>
      </c>
      <c r="E47" t="s">
        <v>77</v>
      </c>
      <c r="F47" t="s">
        <v>250</v>
      </c>
      <c r="G47" t="s">
        <v>70</v>
      </c>
      <c r="H47" t="s">
        <v>251</v>
      </c>
      <c r="I47" t="s">
        <v>71</v>
      </c>
      <c r="J47" t="s">
        <v>252</v>
      </c>
      <c r="K47" s="7" t="s">
        <v>253</v>
      </c>
      <c r="L47" t="s">
        <v>125</v>
      </c>
      <c r="M47" s="9" t="s">
        <v>23</v>
      </c>
      <c r="N47" s="9" t="s">
        <v>254</v>
      </c>
      <c r="O47" s="9" t="s">
        <v>126</v>
      </c>
      <c r="P47" s="9" t="s">
        <v>163</v>
      </c>
      <c r="Q47" s="9" t="b">
        <v>0</v>
      </c>
      <c r="R47" s="9" t="s">
        <v>255</v>
      </c>
      <c r="S47" s="9">
        <v>0</v>
      </c>
      <c r="T47" s="9">
        <v>0</v>
      </c>
      <c r="U47" s="9">
        <v>0</v>
      </c>
      <c r="V47" s="9" t="s">
        <v>20</v>
      </c>
      <c r="W47" s="9" t="s">
        <v>20</v>
      </c>
      <c r="X47" s="9"/>
    </row>
    <row r="48" spans="1:24" ht="87" x14ac:dyDescent="0.35">
      <c r="A48" t="s">
        <v>135</v>
      </c>
      <c r="B48" t="s">
        <v>136</v>
      </c>
      <c r="C48">
        <v>10</v>
      </c>
      <c r="D48">
        <v>1</v>
      </c>
      <c r="E48" t="s">
        <v>77</v>
      </c>
      <c r="F48" t="s">
        <v>250</v>
      </c>
      <c r="G48" t="s">
        <v>70</v>
      </c>
      <c r="H48" t="s">
        <v>251</v>
      </c>
      <c r="I48" t="s">
        <v>73</v>
      </c>
      <c r="J48" t="s">
        <v>256</v>
      </c>
      <c r="K48" s="7" t="s">
        <v>257</v>
      </c>
      <c r="L48" t="s">
        <v>167</v>
      </c>
      <c r="M48" s="9" t="s">
        <v>27</v>
      </c>
      <c r="N48" s="9" t="s">
        <v>20</v>
      </c>
      <c r="O48" s="9" t="s">
        <v>20</v>
      </c>
      <c r="P48" s="9" t="s">
        <v>20</v>
      </c>
      <c r="Q48" s="9" t="b">
        <v>0</v>
      </c>
      <c r="R48" s="9" t="s">
        <v>255</v>
      </c>
      <c r="S48" s="9">
        <v>0</v>
      </c>
      <c r="T48" s="9">
        <v>0</v>
      </c>
      <c r="U48" s="9">
        <v>0</v>
      </c>
      <c r="V48" s="9" t="s">
        <v>20</v>
      </c>
      <c r="W48" s="9" t="s">
        <v>20</v>
      </c>
      <c r="X48" s="9"/>
    </row>
    <row r="49" spans="1:24" ht="87" x14ac:dyDescent="0.35">
      <c r="A49" t="s">
        <v>135</v>
      </c>
      <c r="B49" t="s">
        <v>136</v>
      </c>
      <c r="C49">
        <v>10</v>
      </c>
      <c r="D49">
        <v>1</v>
      </c>
      <c r="E49" t="s">
        <v>77</v>
      </c>
      <c r="F49" t="s">
        <v>250</v>
      </c>
      <c r="G49" t="s">
        <v>70</v>
      </c>
      <c r="H49" t="s">
        <v>251</v>
      </c>
      <c r="I49" t="s">
        <v>74</v>
      </c>
      <c r="J49" t="s">
        <v>258</v>
      </c>
      <c r="K49" s="7" t="s">
        <v>259</v>
      </c>
      <c r="L49" t="s">
        <v>125</v>
      </c>
      <c r="M49" s="9" t="s">
        <v>23</v>
      </c>
      <c r="N49" s="9" t="s">
        <v>162</v>
      </c>
      <c r="O49" s="9" t="s">
        <v>126</v>
      </c>
      <c r="P49" s="9" t="s">
        <v>163</v>
      </c>
      <c r="Q49" s="9" t="b">
        <v>0</v>
      </c>
      <c r="R49" s="9" t="s">
        <v>255</v>
      </c>
      <c r="S49" s="9">
        <v>0</v>
      </c>
      <c r="T49" s="9">
        <v>0</v>
      </c>
      <c r="U49" s="9">
        <v>0</v>
      </c>
      <c r="V49" s="9" t="s">
        <v>20</v>
      </c>
      <c r="W49" s="9" t="s">
        <v>20</v>
      </c>
      <c r="X49" s="9"/>
    </row>
    <row r="50" spans="1:24" ht="101.5" x14ac:dyDescent="0.35">
      <c r="A50" t="s">
        <v>135</v>
      </c>
      <c r="B50" t="s">
        <v>136</v>
      </c>
      <c r="C50">
        <v>10</v>
      </c>
      <c r="D50">
        <v>1</v>
      </c>
      <c r="E50" t="s">
        <v>77</v>
      </c>
      <c r="F50" t="s">
        <v>250</v>
      </c>
      <c r="G50" t="s">
        <v>70</v>
      </c>
      <c r="H50" t="s">
        <v>251</v>
      </c>
      <c r="I50" t="s">
        <v>75</v>
      </c>
      <c r="J50" t="s">
        <v>260</v>
      </c>
      <c r="K50" s="7" t="s">
        <v>261</v>
      </c>
      <c r="L50" t="s">
        <v>125</v>
      </c>
      <c r="M50" s="9" t="s">
        <v>23</v>
      </c>
      <c r="N50" s="9" t="s">
        <v>162</v>
      </c>
      <c r="O50" s="9" t="s">
        <v>126</v>
      </c>
      <c r="P50" s="9" t="s">
        <v>163</v>
      </c>
      <c r="Q50" s="9" t="b">
        <v>0</v>
      </c>
      <c r="R50" s="9" t="s">
        <v>255</v>
      </c>
      <c r="S50" s="9">
        <v>0</v>
      </c>
      <c r="T50" s="9">
        <v>0</v>
      </c>
      <c r="U50" s="9">
        <v>0</v>
      </c>
      <c r="V50" s="9" t="s">
        <v>20</v>
      </c>
      <c r="W50" s="9" t="s">
        <v>20</v>
      </c>
      <c r="X50" s="9"/>
    </row>
    <row r="51" spans="1:24" ht="116" x14ac:dyDescent="0.35">
      <c r="A51" t="s">
        <v>135</v>
      </c>
      <c r="B51" t="s">
        <v>136</v>
      </c>
      <c r="C51">
        <v>10</v>
      </c>
      <c r="D51">
        <v>1</v>
      </c>
      <c r="E51" t="s">
        <v>77</v>
      </c>
      <c r="F51" t="s">
        <v>250</v>
      </c>
      <c r="G51" t="s">
        <v>70</v>
      </c>
      <c r="H51" t="s">
        <v>251</v>
      </c>
      <c r="I51" t="s">
        <v>117</v>
      </c>
      <c r="J51" t="s">
        <v>262</v>
      </c>
      <c r="K51" s="7" t="s">
        <v>263</v>
      </c>
      <c r="L51" t="s">
        <v>167</v>
      </c>
      <c r="M51" s="9" t="s">
        <v>27</v>
      </c>
      <c r="N51" s="9" t="s">
        <v>175</v>
      </c>
      <c r="O51" s="9" t="s">
        <v>20</v>
      </c>
      <c r="P51" s="9" t="s">
        <v>144</v>
      </c>
      <c r="Q51" s="9" t="b">
        <v>0</v>
      </c>
      <c r="R51" s="9" t="s">
        <v>255</v>
      </c>
      <c r="S51" s="9">
        <v>0</v>
      </c>
      <c r="T51" s="9">
        <v>0</v>
      </c>
      <c r="U51" s="9">
        <v>0</v>
      </c>
      <c r="V51" s="9" t="s">
        <v>20</v>
      </c>
      <c r="W51" s="9" t="s">
        <v>20</v>
      </c>
      <c r="X51" s="9"/>
    </row>
    <row r="52" spans="1:24" ht="116" x14ac:dyDescent="0.35">
      <c r="A52" t="s">
        <v>135</v>
      </c>
      <c r="B52" t="s">
        <v>136</v>
      </c>
      <c r="C52">
        <v>10</v>
      </c>
      <c r="D52">
        <v>1</v>
      </c>
      <c r="E52" t="s">
        <v>77</v>
      </c>
      <c r="F52" t="s">
        <v>250</v>
      </c>
      <c r="G52" t="s">
        <v>70</v>
      </c>
      <c r="H52" t="s">
        <v>251</v>
      </c>
      <c r="I52" t="s">
        <v>118</v>
      </c>
      <c r="J52" t="s">
        <v>264</v>
      </c>
      <c r="K52" s="7" t="s">
        <v>265</v>
      </c>
      <c r="L52" t="s">
        <v>167</v>
      </c>
      <c r="M52" s="9" t="s">
        <v>27</v>
      </c>
      <c r="N52" s="9" t="s">
        <v>175</v>
      </c>
      <c r="O52" s="9" t="s">
        <v>20</v>
      </c>
      <c r="P52" s="9" t="s">
        <v>144</v>
      </c>
      <c r="Q52" s="9" t="b">
        <v>0</v>
      </c>
      <c r="R52" s="9" t="s">
        <v>255</v>
      </c>
      <c r="S52" s="9">
        <v>0</v>
      </c>
      <c r="T52" s="9">
        <v>0</v>
      </c>
      <c r="U52" s="9">
        <v>0</v>
      </c>
      <c r="V52" s="9" t="s">
        <v>20</v>
      </c>
      <c r="W52" s="9" t="s">
        <v>20</v>
      </c>
      <c r="X52" s="9"/>
    </row>
    <row r="53" spans="1:24" ht="116" x14ac:dyDescent="0.35">
      <c r="A53" t="s">
        <v>135</v>
      </c>
      <c r="B53" t="s">
        <v>136</v>
      </c>
      <c r="C53">
        <v>10</v>
      </c>
      <c r="D53">
        <v>1</v>
      </c>
      <c r="E53" t="s">
        <v>77</v>
      </c>
      <c r="F53" t="s">
        <v>250</v>
      </c>
      <c r="G53" t="s">
        <v>70</v>
      </c>
      <c r="H53" t="s">
        <v>251</v>
      </c>
      <c r="I53" t="s">
        <v>122</v>
      </c>
      <c r="J53" t="s">
        <v>266</v>
      </c>
      <c r="K53" s="7" t="s">
        <v>267</v>
      </c>
      <c r="L53" t="s">
        <v>152</v>
      </c>
      <c r="M53" s="9" t="s">
        <v>39</v>
      </c>
      <c r="N53" s="9" t="s">
        <v>268</v>
      </c>
      <c r="O53" s="9" t="s">
        <v>269</v>
      </c>
      <c r="P53" s="9" t="s">
        <v>144</v>
      </c>
      <c r="Q53" s="9" t="b">
        <v>0</v>
      </c>
      <c r="R53" s="9" t="s">
        <v>270</v>
      </c>
      <c r="S53" s="9">
        <v>0</v>
      </c>
      <c r="T53" s="9">
        <v>0</v>
      </c>
      <c r="U53" s="9">
        <v>0</v>
      </c>
      <c r="V53" s="9" t="s">
        <v>20</v>
      </c>
      <c r="W53" s="9" t="s">
        <v>20</v>
      </c>
      <c r="X53" s="9"/>
    </row>
    <row r="54" spans="1:24" ht="130.5" x14ac:dyDescent="0.35">
      <c r="A54" t="s">
        <v>135</v>
      </c>
      <c r="B54" t="s">
        <v>136</v>
      </c>
      <c r="C54">
        <v>10</v>
      </c>
      <c r="D54">
        <v>1</v>
      </c>
      <c r="E54" t="s">
        <v>77</v>
      </c>
      <c r="F54" t="s">
        <v>250</v>
      </c>
      <c r="G54" t="s">
        <v>70</v>
      </c>
      <c r="H54" t="s">
        <v>251</v>
      </c>
      <c r="I54" t="s">
        <v>123</v>
      </c>
      <c r="J54" t="s">
        <v>271</v>
      </c>
      <c r="K54" s="7" t="s">
        <v>272</v>
      </c>
      <c r="L54" t="s">
        <v>167</v>
      </c>
      <c r="M54" s="9" t="s">
        <v>27</v>
      </c>
      <c r="N54" s="9" t="s">
        <v>175</v>
      </c>
      <c r="O54" s="9" t="s">
        <v>20</v>
      </c>
      <c r="P54" s="9" t="s">
        <v>144</v>
      </c>
      <c r="Q54" s="9" t="b">
        <v>0</v>
      </c>
      <c r="R54" s="9" t="s">
        <v>273</v>
      </c>
      <c r="S54" s="9">
        <v>0</v>
      </c>
      <c r="T54" s="9">
        <v>0</v>
      </c>
      <c r="U54" s="9">
        <v>0</v>
      </c>
      <c r="V54" s="9" t="s">
        <v>20</v>
      </c>
      <c r="W54" s="9" t="s">
        <v>20</v>
      </c>
      <c r="X54" s="9"/>
    </row>
    <row r="55" spans="1:24" ht="101.5" x14ac:dyDescent="0.35">
      <c r="A55" t="s">
        <v>135</v>
      </c>
      <c r="B55" t="s">
        <v>136</v>
      </c>
      <c r="C55">
        <v>10</v>
      </c>
      <c r="D55">
        <v>1</v>
      </c>
      <c r="E55" t="s">
        <v>77</v>
      </c>
      <c r="F55" t="s">
        <v>250</v>
      </c>
      <c r="G55" t="s">
        <v>70</v>
      </c>
      <c r="H55" t="s">
        <v>251</v>
      </c>
      <c r="I55" t="s">
        <v>124</v>
      </c>
      <c r="J55" t="s">
        <v>274</v>
      </c>
      <c r="K55" s="7" t="s">
        <v>275</v>
      </c>
      <c r="L55" t="s">
        <v>152</v>
      </c>
      <c r="M55" s="9" t="s">
        <v>39</v>
      </c>
      <c r="N55" s="9" t="s">
        <v>276</v>
      </c>
      <c r="O55" s="9" t="s">
        <v>126</v>
      </c>
      <c r="P55" s="9" t="s">
        <v>144</v>
      </c>
      <c r="Q55" s="9" t="b">
        <v>0</v>
      </c>
      <c r="R55" s="9" t="s">
        <v>277</v>
      </c>
      <c r="S55" s="9">
        <v>0</v>
      </c>
      <c r="T55" s="9">
        <v>0</v>
      </c>
      <c r="U55" s="9">
        <v>0</v>
      </c>
      <c r="V55" s="9" t="s">
        <v>20</v>
      </c>
      <c r="W55" s="9" t="s">
        <v>20</v>
      </c>
      <c r="X55" s="9"/>
    </row>
    <row r="56" spans="1:24" ht="116" x14ac:dyDescent="0.35">
      <c r="A56" t="s">
        <v>135</v>
      </c>
      <c r="B56" t="s">
        <v>136</v>
      </c>
      <c r="C56">
        <v>10</v>
      </c>
      <c r="D56">
        <v>1</v>
      </c>
      <c r="E56" t="s">
        <v>77</v>
      </c>
      <c r="F56" t="s">
        <v>250</v>
      </c>
      <c r="G56" t="s">
        <v>70</v>
      </c>
      <c r="H56" t="s">
        <v>251</v>
      </c>
      <c r="I56" t="s">
        <v>127</v>
      </c>
      <c r="J56" t="s">
        <v>278</v>
      </c>
      <c r="K56" s="7" t="s">
        <v>279</v>
      </c>
      <c r="L56" t="s">
        <v>167</v>
      </c>
      <c r="M56" s="9" t="s">
        <v>27</v>
      </c>
      <c r="N56" s="9" t="s">
        <v>175</v>
      </c>
      <c r="O56" s="9" t="s">
        <v>20</v>
      </c>
      <c r="P56" s="9" t="s">
        <v>144</v>
      </c>
      <c r="Q56" s="9" t="b">
        <v>0</v>
      </c>
      <c r="R56" s="9" t="s">
        <v>280</v>
      </c>
      <c r="S56" s="9">
        <v>0</v>
      </c>
      <c r="T56" s="9">
        <v>0</v>
      </c>
      <c r="U56" s="9">
        <v>0</v>
      </c>
      <c r="V56" s="9" t="s">
        <v>20</v>
      </c>
      <c r="W56" s="9" t="s">
        <v>20</v>
      </c>
      <c r="X56" s="9"/>
    </row>
    <row r="57" spans="1:24" ht="101.5" x14ac:dyDescent="0.35">
      <c r="A57" t="s">
        <v>135</v>
      </c>
      <c r="B57" t="s">
        <v>136</v>
      </c>
      <c r="C57">
        <v>10</v>
      </c>
      <c r="D57">
        <v>1</v>
      </c>
      <c r="E57" t="s">
        <v>77</v>
      </c>
      <c r="F57" t="s">
        <v>250</v>
      </c>
      <c r="G57" t="s">
        <v>70</v>
      </c>
      <c r="H57" t="s">
        <v>251</v>
      </c>
      <c r="I57" t="s">
        <v>172</v>
      </c>
      <c r="J57" t="s">
        <v>281</v>
      </c>
      <c r="K57" s="7" t="s">
        <v>282</v>
      </c>
      <c r="L57" t="s">
        <v>125</v>
      </c>
      <c r="M57" s="9" t="s">
        <v>23</v>
      </c>
      <c r="N57" s="9" t="s">
        <v>283</v>
      </c>
      <c r="O57" s="9" t="s">
        <v>96</v>
      </c>
      <c r="P57" s="9" t="s">
        <v>158</v>
      </c>
      <c r="Q57" s="9" t="b">
        <v>0</v>
      </c>
      <c r="R57" s="9" t="s">
        <v>284</v>
      </c>
      <c r="S57" s="9">
        <v>0</v>
      </c>
      <c r="T57" s="9">
        <v>0</v>
      </c>
      <c r="U57" s="9">
        <v>0</v>
      </c>
      <c r="V57" s="9" t="s">
        <v>20</v>
      </c>
      <c r="W57" s="9" t="s">
        <v>20</v>
      </c>
      <c r="X57" s="9"/>
    </row>
    <row r="58" spans="1:24" ht="130.5" x14ac:dyDescent="0.35">
      <c r="A58" t="s">
        <v>135</v>
      </c>
      <c r="B58" t="s">
        <v>136</v>
      </c>
      <c r="C58">
        <v>10</v>
      </c>
      <c r="D58">
        <v>1</v>
      </c>
      <c r="E58" t="s">
        <v>77</v>
      </c>
      <c r="F58" t="s">
        <v>250</v>
      </c>
      <c r="G58" t="s">
        <v>72</v>
      </c>
      <c r="H58" t="s">
        <v>285</v>
      </c>
      <c r="I58" t="s">
        <v>71</v>
      </c>
      <c r="J58" t="s">
        <v>286</v>
      </c>
      <c r="K58" s="7" t="s">
        <v>287</v>
      </c>
      <c r="L58" t="s">
        <v>167</v>
      </c>
      <c r="M58" s="9" t="s">
        <v>27</v>
      </c>
      <c r="N58" s="9" t="s">
        <v>288</v>
      </c>
      <c r="O58" s="9" t="s">
        <v>20</v>
      </c>
      <c r="P58" s="9" t="s">
        <v>144</v>
      </c>
      <c r="Q58" s="9" t="b">
        <v>0</v>
      </c>
      <c r="R58" s="9" t="s">
        <v>255</v>
      </c>
      <c r="S58" s="9">
        <v>0</v>
      </c>
      <c r="T58" s="9">
        <v>0</v>
      </c>
      <c r="U58" s="9">
        <v>0</v>
      </c>
      <c r="V58" s="9" t="s">
        <v>20</v>
      </c>
      <c r="W58" s="9" t="s">
        <v>20</v>
      </c>
      <c r="X58" s="9"/>
    </row>
    <row r="59" spans="1:24" ht="116" x14ac:dyDescent="0.35">
      <c r="A59" t="s">
        <v>135</v>
      </c>
      <c r="B59" t="s">
        <v>136</v>
      </c>
      <c r="C59">
        <v>10</v>
      </c>
      <c r="D59">
        <v>1</v>
      </c>
      <c r="E59" t="s">
        <v>77</v>
      </c>
      <c r="F59" t="s">
        <v>250</v>
      </c>
      <c r="G59" t="s">
        <v>72</v>
      </c>
      <c r="H59" t="s">
        <v>285</v>
      </c>
      <c r="I59" t="s">
        <v>73</v>
      </c>
      <c r="J59" t="s">
        <v>289</v>
      </c>
      <c r="K59" s="7" t="s">
        <v>290</v>
      </c>
      <c r="L59" t="s">
        <v>167</v>
      </c>
      <c r="M59" s="9" t="s">
        <v>27</v>
      </c>
      <c r="N59" s="9" t="s">
        <v>175</v>
      </c>
      <c r="O59" s="9" t="s">
        <v>20</v>
      </c>
      <c r="P59" s="9" t="s">
        <v>144</v>
      </c>
      <c r="Q59" s="9" t="b">
        <v>0</v>
      </c>
      <c r="R59" s="9" t="s">
        <v>280</v>
      </c>
      <c r="S59" s="9">
        <v>0</v>
      </c>
      <c r="T59" s="9">
        <v>0</v>
      </c>
      <c r="U59" s="9">
        <v>0</v>
      </c>
      <c r="V59" s="9" t="s">
        <v>20</v>
      </c>
      <c r="W59" s="9" t="s">
        <v>20</v>
      </c>
      <c r="X59" s="9"/>
    </row>
    <row r="60" spans="1:24" ht="72.5" x14ac:dyDescent="0.35">
      <c r="A60" t="s">
        <v>135</v>
      </c>
      <c r="B60" t="s">
        <v>136</v>
      </c>
      <c r="C60">
        <v>10</v>
      </c>
      <c r="D60">
        <v>1</v>
      </c>
      <c r="E60" t="s">
        <v>77</v>
      </c>
      <c r="F60" t="s">
        <v>250</v>
      </c>
      <c r="G60" t="s">
        <v>72</v>
      </c>
      <c r="H60" t="s">
        <v>285</v>
      </c>
      <c r="I60" t="s">
        <v>74</v>
      </c>
      <c r="J60" t="s">
        <v>291</v>
      </c>
      <c r="K60" s="7" t="s">
        <v>292</v>
      </c>
      <c r="L60" t="s">
        <v>152</v>
      </c>
      <c r="M60" s="9" t="s">
        <v>39</v>
      </c>
      <c r="N60" s="9" t="s">
        <v>268</v>
      </c>
      <c r="O60" s="9" t="s">
        <v>269</v>
      </c>
      <c r="P60" s="9" t="s">
        <v>144</v>
      </c>
      <c r="Q60" s="9" t="b">
        <v>0</v>
      </c>
      <c r="R60" s="9" t="s">
        <v>270</v>
      </c>
      <c r="S60" s="9">
        <v>0</v>
      </c>
      <c r="T60" s="9">
        <v>0</v>
      </c>
      <c r="U60" s="9">
        <v>0</v>
      </c>
      <c r="V60" s="9" t="s">
        <v>20</v>
      </c>
      <c r="W60" s="9" t="s">
        <v>20</v>
      </c>
      <c r="X60" s="9"/>
    </row>
    <row r="61" spans="1:24" ht="29" x14ac:dyDescent="0.35">
      <c r="A61" t="s">
        <v>135</v>
      </c>
      <c r="B61" t="s">
        <v>136</v>
      </c>
      <c r="C61">
        <v>10</v>
      </c>
      <c r="D61">
        <v>1</v>
      </c>
      <c r="E61" t="s">
        <v>77</v>
      </c>
      <c r="F61" t="s">
        <v>250</v>
      </c>
      <c r="G61" t="s">
        <v>97</v>
      </c>
      <c r="H61" t="s">
        <v>293</v>
      </c>
      <c r="I61" t="s">
        <v>71</v>
      </c>
      <c r="J61" t="s">
        <v>281</v>
      </c>
      <c r="K61" s="7" t="s">
        <v>294</v>
      </c>
      <c r="L61" t="s">
        <v>125</v>
      </c>
      <c r="M61" s="9" t="s">
        <v>23</v>
      </c>
      <c r="N61" s="9" t="s">
        <v>283</v>
      </c>
      <c r="O61" s="9" t="s">
        <v>96</v>
      </c>
      <c r="P61" s="9" t="s">
        <v>158</v>
      </c>
      <c r="Q61" s="9" t="b">
        <v>0</v>
      </c>
      <c r="R61" s="9" t="s">
        <v>284</v>
      </c>
      <c r="S61" s="9">
        <v>0</v>
      </c>
      <c r="T61" s="9">
        <v>0</v>
      </c>
      <c r="U61" s="9">
        <v>0</v>
      </c>
      <c r="V61" s="9" t="s">
        <v>20</v>
      </c>
      <c r="W61" s="9" t="s">
        <v>20</v>
      </c>
      <c r="X61" s="9"/>
    </row>
    <row r="62" spans="1:24" ht="101.5" x14ac:dyDescent="0.35">
      <c r="A62" t="s">
        <v>135</v>
      </c>
      <c r="B62" t="s">
        <v>136</v>
      </c>
      <c r="C62">
        <v>10</v>
      </c>
      <c r="D62">
        <v>1</v>
      </c>
      <c r="E62" t="s">
        <v>77</v>
      </c>
      <c r="F62" t="s">
        <v>250</v>
      </c>
      <c r="G62" t="s">
        <v>97</v>
      </c>
      <c r="H62" t="s">
        <v>293</v>
      </c>
      <c r="I62" t="s">
        <v>73</v>
      </c>
      <c r="J62" t="s">
        <v>295</v>
      </c>
      <c r="K62" s="7" t="s">
        <v>296</v>
      </c>
      <c r="L62" t="s">
        <v>167</v>
      </c>
      <c r="M62" s="9" t="s">
        <v>27</v>
      </c>
      <c r="N62" s="9" t="s">
        <v>175</v>
      </c>
      <c r="O62" s="9" t="s">
        <v>20</v>
      </c>
      <c r="P62" s="9" t="s">
        <v>144</v>
      </c>
      <c r="Q62" s="9" t="b">
        <v>0</v>
      </c>
      <c r="R62" s="9" t="s">
        <v>297</v>
      </c>
      <c r="S62" s="9">
        <v>0</v>
      </c>
      <c r="T62" s="9">
        <v>0</v>
      </c>
      <c r="U62" s="9">
        <v>0</v>
      </c>
      <c r="V62" s="9" t="s">
        <v>20</v>
      </c>
      <c r="W62" s="9" t="s">
        <v>20</v>
      </c>
      <c r="X62" s="9"/>
    </row>
    <row r="63" spans="1:24" ht="72.5" x14ac:dyDescent="0.35">
      <c r="A63" t="s">
        <v>135</v>
      </c>
      <c r="B63" t="s">
        <v>136</v>
      </c>
      <c r="C63">
        <v>10</v>
      </c>
      <c r="D63">
        <v>1</v>
      </c>
      <c r="E63" t="s">
        <v>77</v>
      </c>
      <c r="F63" t="s">
        <v>250</v>
      </c>
      <c r="G63" t="s">
        <v>97</v>
      </c>
      <c r="H63" t="s">
        <v>293</v>
      </c>
      <c r="I63" t="s">
        <v>74</v>
      </c>
      <c r="J63" t="s">
        <v>274</v>
      </c>
      <c r="K63" s="7" t="s">
        <v>298</v>
      </c>
      <c r="L63" t="s">
        <v>152</v>
      </c>
      <c r="M63" s="9" t="s">
        <v>39</v>
      </c>
      <c r="N63" s="9" t="s">
        <v>276</v>
      </c>
      <c r="O63" s="9" t="s">
        <v>126</v>
      </c>
      <c r="P63" s="9" t="s">
        <v>144</v>
      </c>
      <c r="Q63" s="9" t="b">
        <v>0</v>
      </c>
      <c r="R63" s="9" t="s">
        <v>277</v>
      </c>
      <c r="S63" s="9">
        <v>0</v>
      </c>
      <c r="T63" s="9">
        <v>0</v>
      </c>
      <c r="U63" s="9">
        <v>0</v>
      </c>
      <c r="V63" s="9" t="s">
        <v>20</v>
      </c>
      <c r="W63" s="9" t="s">
        <v>20</v>
      </c>
      <c r="X63" s="9"/>
    </row>
    <row r="64" spans="1:24" ht="101.5" x14ac:dyDescent="0.35">
      <c r="A64" t="s">
        <v>135</v>
      </c>
      <c r="B64" t="s">
        <v>136</v>
      </c>
      <c r="C64">
        <v>10</v>
      </c>
      <c r="D64">
        <v>1</v>
      </c>
      <c r="E64" t="s">
        <v>77</v>
      </c>
      <c r="F64" t="s">
        <v>250</v>
      </c>
      <c r="G64" t="s">
        <v>97</v>
      </c>
      <c r="H64" t="s">
        <v>293</v>
      </c>
      <c r="I64" t="s">
        <v>75</v>
      </c>
      <c r="J64" t="s">
        <v>299</v>
      </c>
      <c r="K64" s="7" t="s">
        <v>300</v>
      </c>
      <c r="L64" t="s">
        <v>167</v>
      </c>
      <c r="M64" s="9" t="s">
        <v>27</v>
      </c>
      <c r="N64" s="9" t="s">
        <v>175</v>
      </c>
      <c r="O64" s="9" t="s">
        <v>20</v>
      </c>
      <c r="P64" s="9" t="s">
        <v>144</v>
      </c>
      <c r="Q64" s="9" t="b">
        <v>0</v>
      </c>
      <c r="R64" s="9" t="s">
        <v>301</v>
      </c>
      <c r="S64" s="9">
        <v>0</v>
      </c>
      <c r="T64" s="9">
        <v>0</v>
      </c>
      <c r="U64" s="9">
        <v>0</v>
      </c>
      <c r="V64" s="9" t="s">
        <v>20</v>
      </c>
      <c r="W64" s="9" t="s">
        <v>20</v>
      </c>
      <c r="X64" s="9"/>
    </row>
    <row r="65" spans="1:24" ht="101.5" x14ac:dyDescent="0.35">
      <c r="A65" t="s">
        <v>135</v>
      </c>
      <c r="B65" t="s">
        <v>136</v>
      </c>
      <c r="C65">
        <v>10</v>
      </c>
      <c r="D65">
        <v>1</v>
      </c>
      <c r="E65" t="s">
        <v>77</v>
      </c>
      <c r="F65" t="s">
        <v>250</v>
      </c>
      <c r="G65" t="s">
        <v>97</v>
      </c>
      <c r="H65" t="s">
        <v>293</v>
      </c>
      <c r="I65" t="s">
        <v>117</v>
      </c>
      <c r="J65" t="s">
        <v>302</v>
      </c>
      <c r="K65" s="7" t="s">
        <v>296</v>
      </c>
      <c r="L65" t="s">
        <v>167</v>
      </c>
      <c r="M65" s="9" t="s">
        <v>27</v>
      </c>
      <c r="N65" s="9" t="s">
        <v>175</v>
      </c>
      <c r="O65" s="9" t="s">
        <v>20</v>
      </c>
      <c r="P65" s="9" t="s">
        <v>144</v>
      </c>
      <c r="Q65" s="9" t="b">
        <v>0</v>
      </c>
      <c r="R65" s="9" t="s">
        <v>303</v>
      </c>
      <c r="S65" s="9">
        <v>0</v>
      </c>
      <c r="T65" s="9">
        <v>0</v>
      </c>
      <c r="U65" s="9">
        <v>0</v>
      </c>
      <c r="V65" s="9" t="s">
        <v>20</v>
      </c>
      <c r="W65" s="9" t="s">
        <v>20</v>
      </c>
      <c r="X65" s="9"/>
    </row>
    <row r="66" spans="1:24" ht="87" x14ac:dyDescent="0.35">
      <c r="A66" t="s">
        <v>135</v>
      </c>
      <c r="B66" t="s">
        <v>136</v>
      </c>
      <c r="C66">
        <v>10</v>
      </c>
      <c r="D66">
        <v>1</v>
      </c>
      <c r="E66" t="s">
        <v>78</v>
      </c>
      <c r="F66" t="s">
        <v>304</v>
      </c>
      <c r="G66" t="s">
        <v>70</v>
      </c>
      <c r="H66" t="s">
        <v>305</v>
      </c>
      <c r="I66" t="s">
        <v>71</v>
      </c>
      <c r="J66" t="s">
        <v>306</v>
      </c>
      <c r="K66" s="7" t="s">
        <v>307</v>
      </c>
      <c r="L66" t="s">
        <v>308</v>
      </c>
      <c r="M66" s="9" t="s">
        <v>27</v>
      </c>
      <c r="N66" s="9" t="s">
        <v>175</v>
      </c>
      <c r="O66" s="9" t="s">
        <v>20</v>
      </c>
      <c r="P66" s="9" t="s">
        <v>144</v>
      </c>
      <c r="Q66" s="9" t="b">
        <v>0</v>
      </c>
      <c r="R66" s="9" t="s">
        <v>309</v>
      </c>
      <c r="S66" s="9">
        <v>0</v>
      </c>
      <c r="T66" s="9">
        <v>0</v>
      </c>
      <c r="U66" s="9">
        <v>0</v>
      </c>
      <c r="V66" s="9" t="s">
        <v>20</v>
      </c>
      <c r="W66" s="9" t="s">
        <v>20</v>
      </c>
      <c r="X66" s="9"/>
    </row>
    <row r="67" spans="1:24" ht="101.5" x14ac:dyDescent="0.35">
      <c r="A67" t="s">
        <v>135</v>
      </c>
      <c r="B67" t="s">
        <v>136</v>
      </c>
      <c r="C67">
        <v>10</v>
      </c>
      <c r="D67">
        <v>1</v>
      </c>
      <c r="E67" t="s">
        <v>78</v>
      </c>
      <c r="F67" t="s">
        <v>304</v>
      </c>
      <c r="G67" t="s">
        <v>70</v>
      </c>
      <c r="H67" t="s">
        <v>305</v>
      </c>
      <c r="I67" t="s">
        <v>73</v>
      </c>
      <c r="J67" t="s">
        <v>310</v>
      </c>
      <c r="K67" s="7" t="s">
        <v>311</v>
      </c>
      <c r="L67" t="s">
        <v>167</v>
      </c>
      <c r="M67" s="9" t="s">
        <v>27</v>
      </c>
      <c r="N67" s="9" t="s">
        <v>175</v>
      </c>
      <c r="O67" s="9" t="s">
        <v>20</v>
      </c>
      <c r="P67" s="9" t="s">
        <v>144</v>
      </c>
      <c r="Q67" s="9" t="b">
        <v>0</v>
      </c>
      <c r="R67" s="9" t="s">
        <v>309</v>
      </c>
      <c r="S67" s="9">
        <v>0</v>
      </c>
      <c r="T67" s="9">
        <v>0</v>
      </c>
      <c r="U67" s="9">
        <v>0</v>
      </c>
      <c r="V67" s="9" t="s">
        <v>20</v>
      </c>
      <c r="W67" s="9" t="s">
        <v>20</v>
      </c>
      <c r="X67" s="9"/>
    </row>
    <row r="68" spans="1:24" ht="116" x14ac:dyDescent="0.35">
      <c r="A68" t="s">
        <v>135</v>
      </c>
      <c r="B68" t="s">
        <v>136</v>
      </c>
      <c r="C68">
        <v>10</v>
      </c>
      <c r="D68">
        <v>1</v>
      </c>
      <c r="E68" t="s">
        <v>78</v>
      </c>
      <c r="F68" t="s">
        <v>304</v>
      </c>
      <c r="G68" t="s">
        <v>70</v>
      </c>
      <c r="H68" t="s">
        <v>305</v>
      </c>
      <c r="I68" t="s">
        <v>74</v>
      </c>
      <c r="J68" t="s">
        <v>312</v>
      </c>
      <c r="K68" s="7" t="s">
        <v>313</v>
      </c>
      <c r="L68" t="s">
        <v>167</v>
      </c>
      <c r="M68" s="9" t="s">
        <v>27</v>
      </c>
      <c r="N68" s="9" t="s">
        <v>175</v>
      </c>
      <c r="O68" s="9" t="s">
        <v>20</v>
      </c>
      <c r="P68" s="9" t="s">
        <v>144</v>
      </c>
      <c r="Q68" s="9" t="b">
        <v>0</v>
      </c>
      <c r="R68" s="9" t="s">
        <v>309</v>
      </c>
      <c r="S68" s="9">
        <v>0</v>
      </c>
      <c r="T68" s="9">
        <v>0</v>
      </c>
      <c r="U68" s="9">
        <v>0</v>
      </c>
      <c r="V68" s="9" t="s">
        <v>20</v>
      </c>
      <c r="W68" s="9" t="s">
        <v>20</v>
      </c>
      <c r="X68" s="9"/>
    </row>
    <row r="69" spans="1:24" ht="116" x14ac:dyDescent="0.35">
      <c r="A69" t="s">
        <v>135</v>
      </c>
      <c r="B69" t="s">
        <v>136</v>
      </c>
      <c r="C69">
        <v>10</v>
      </c>
      <c r="D69">
        <v>1</v>
      </c>
      <c r="E69" t="s">
        <v>79</v>
      </c>
      <c r="F69" t="s">
        <v>314</v>
      </c>
      <c r="G69" t="s">
        <v>70</v>
      </c>
      <c r="H69" t="s">
        <v>305</v>
      </c>
      <c r="I69" t="s">
        <v>71</v>
      </c>
      <c r="J69" t="s">
        <v>315</v>
      </c>
      <c r="K69" s="7" t="s">
        <v>316</v>
      </c>
      <c r="L69" t="s">
        <v>167</v>
      </c>
      <c r="M69" s="9" t="s">
        <v>27</v>
      </c>
      <c r="N69" s="9" t="s">
        <v>175</v>
      </c>
      <c r="O69" s="9" t="s">
        <v>20</v>
      </c>
      <c r="P69" s="9" t="s">
        <v>144</v>
      </c>
      <c r="Q69" s="9" t="b">
        <v>0</v>
      </c>
      <c r="R69" s="9" t="s">
        <v>317</v>
      </c>
      <c r="S69" s="9">
        <v>0</v>
      </c>
      <c r="T69" s="9">
        <v>0</v>
      </c>
      <c r="U69" s="9">
        <v>0</v>
      </c>
      <c r="V69" s="9" t="s">
        <v>20</v>
      </c>
      <c r="W69" s="9" t="s">
        <v>20</v>
      </c>
      <c r="X69" s="9"/>
    </row>
    <row r="70" spans="1:24" ht="116" x14ac:dyDescent="0.35">
      <c r="A70" t="s">
        <v>135</v>
      </c>
      <c r="B70" t="s">
        <v>136</v>
      </c>
      <c r="C70">
        <v>10</v>
      </c>
      <c r="D70">
        <v>1</v>
      </c>
      <c r="E70" t="s">
        <v>79</v>
      </c>
      <c r="F70" t="s">
        <v>314</v>
      </c>
      <c r="G70" t="s">
        <v>70</v>
      </c>
      <c r="H70" t="s">
        <v>305</v>
      </c>
      <c r="I70" t="s">
        <v>73</v>
      </c>
      <c r="J70" t="s">
        <v>318</v>
      </c>
      <c r="K70" s="7" t="s">
        <v>316</v>
      </c>
      <c r="L70" t="s">
        <v>167</v>
      </c>
      <c r="M70" s="9" t="s">
        <v>27</v>
      </c>
      <c r="N70" s="9" t="s">
        <v>175</v>
      </c>
      <c r="O70" s="9" t="s">
        <v>20</v>
      </c>
      <c r="P70" s="9" t="s">
        <v>144</v>
      </c>
      <c r="Q70" s="9" t="b">
        <v>0</v>
      </c>
      <c r="R70" s="9" t="s">
        <v>317</v>
      </c>
      <c r="S70" s="9">
        <v>0</v>
      </c>
      <c r="T70" s="9">
        <v>0</v>
      </c>
      <c r="U70" s="9">
        <v>0</v>
      </c>
      <c r="V70" s="9" t="s">
        <v>20</v>
      </c>
      <c r="W70" s="9" t="s">
        <v>20</v>
      </c>
      <c r="X70" s="9"/>
    </row>
    <row r="71" spans="1:24" ht="116" x14ac:dyDescent="0.35">
      <c r="A71" t="s">
        <v>135</v>
      </c>
      <c r="B71" t="s">
        <v>136</v>
      </c>
      <c r="C71">
        <v>10</v>
      </c>
      <c r="D71">
        <v>1</v>
      </c>
      <c r="E71" t="s">
        <v>79</v>
      </c>
      <c r="F71" t="s">
        <v>314</v>
      </c>
      <c r="G71" t="s">
        <v>70</v>
      </c>
      <c r="H71" t="s">
        <v>305</v>
      </c>
      <c r="I71" t="s">
        <v>74</v>
      </c>
      <c r="J71" t="s">
        <v>319</v>
      </c>
      <c r="K71" s="7" t="s">
        <v>316</v>
      </c>
      <c r="L71" t="s">
        <v>167</v>
      </c>
      <c r="M71" s="9" t="s">
        <v>27</v>
      </c>
      <c r="N71" s="9" t="s">
        <v>175</v>
      </c>
      <c r="O71" s="9" t="s">
        <v>20</v>
      </c>
      <c r="P71" s="9" t="s">
        <v>144</v>
      </c>
      <c r="Q71" s="9" t="b">
        <v>0</v>
      </c>
      <c r="R71" s="9" t="s">
        <v>317</v>
      </c>
      <c r="S71" s="9">
        <v>0</v>
      </c>
      <c r="T71" s="9">
        <v>0</v>
      </c>
      <c r="U71" s="9">
        <v>0</v>
      </c>
      <c r="V71" s="9" t="s">
        <v>20</v>
      </c>
      <c r="W71" s="9" t="s">
        <v>20</v>
      </c>
      <c r="X71" s="9"/>
    </row>
    <row r="72" spans="1:24" x14ac:dyDescent="0.35">
      <c r="T72" s="9"/>
      <c r="U72" s="9"/>
      <c r="V72" s="9"/>
      <c r="W72" s="9"/>
    </row>
    <row r="73" spans="1:24" x14ac:dyDescent="0.35">
      <c r="T73" s="9"/>
      <c r="U73" s="9"/>
      <c r="V73" s="9"/>
      <c r="W73" s="9"/>
    </row>
    <row r="74" spans="1:24" x14ac:dyDescent="0.35">
      <c r="T74" s="9"/>
      <c r="U74" s="9"/>
      <c r="V74" s="9"/>
      <c r="W74" s="9"/>
    </row>
    <row r="75" spans="1:24" x14ac:dyDescent="0.35">
      <c r="T75" s="9"/>
      <c r="U75" s="9"/>
      <c r="V75" s="9"/>
      <c r="W75" s="9"/>
    </row>
    <row r="76" spans="1:24" x14ac:dyDescent="0.35">
      <c r="T76" s="9"/>
      <c r="U76" s="9"/>
      <c r="V76" s="9"/>
      <c r="W76" s="9"/>
    </row>
    <row r="77" spans="1:24" x14ac:dyDescent="0.35">
      <c r="T77" s="9"/>
      <c r="U77" s="9"/>
      <c r="V77" s="9"/>
      <c r="W77" s="9"/>
    </row>
    <row r="78" spans="1:24" x14ac:dyDescent="0.35">
      <c r="T78" s="9"/>
      <c r="U78" s="9"/>
      <c r="V78" s="9"/>
      <c r="W78" s="9"/>
    </row>
    <row r="79" spans="1:24" x14ac:dyDescent="0.35">
      <c r="T79" s="9"/>
      <c r="U79" s="9"/>
      <c r="V79" s="9"/>
      <c r="W79" s="9"/>
    </row>
    <row r="80" spans="1:24" x14ac:dyDescent="0.35">
      <c r="T80" s="9"/>
      <c r="U80" s="9"/>
      <c r="V80" s="9"/>
      <c r="W80" s="9"/>
    </row>
    <row r="81" spans="20:23" x14ac:dyDescent="0.35">
      <c r="T81" s="9"/>
      <c r="U81" s="9"/>
      <c r="V81" s="9"/>
      <c r="W81" s="9"/>
    </row>
    <row r="82" spans="20:23" x14ac:dyDescent="0.35">
      <c r="T82" s="9"/>
      <c r="U82" s="9"/>
      <c r="V82" s="9"/>
      <c r="W82" s="9"/>
    </row>
    <row r="83" spans="20:23" x14ac:dyDescent="0.35">
      <c r="T83" s="9"/>
      <c r="U83" s="9"/>
      <c r="V83" s="9"/>
      <c r="W83" s="9"/>
    </row>
    <row r="84" spans="20:23" x14ac:dyDescent="0.35">
      <c r="T84" s="9"/>
      <c r="U84" s="9"/>
      <c r="V84" s="9"/>
      <c r="W84" s="9"/>
    </row>
    <row r="85" spans="20:23" x14ac:dyDescent="0.35">
      <c r="T85" s="9"/>
      <c r="U85" s="9"/>
      <c r="V85" s="9"/>
      <c r="W85" s="9"/>
    </row>
    <row r="86" spans="20:23" x14ac:dyDescent="0.35">
      <c r="T86" s="9"/>
      <c r="U86" s="9"/>
      <c r="V86" s="9"/>
      <c r="W86" s="9"/>
    </row>
    <row r="87" spans="20:23" x14ac:dyDescent="0.35">
      <c r="T87" s="9"/>
      <c r="U87" s="9"/>
      <c r="V87" s="9"/>
      <c r="W87" s="9"/>
    </row>
    <row r="88" spans="20:23" x14ac:dyDescent="0.35">
      <c r="T88" s="9"/>
      <c r="U88" s="9"/>
      <c r="V88" s="9"/>
      <c r="W88" s="9"/>
    </row>
    <row r="89" spans="20:23" x14ac:dyDescent="0.35">
      <c r="T89" s="9"/>
      <c r="U89" s="9"/>
      <c r="V89" s="9"/>
      <c r="W89" s="9"/>
    </row>
    <row r="90" spans="20:23" x14ac:dyDescent="0.35">
      <c r="T90" s="9"/>
      <c r="U90" s="9"/>
      <c r="V90" s="9"/>
      <c r="W90" s="9"/>
    </row>
    <row r="91" spans="20:23" x14ac:dyDescent="0.35">
      <c r="T91" s="9"/>
      <c r="U91" s="9"/>
      <c r="V91" s="9"/>
      <c r="W91" s="9"/>
    </row>
    <row r="92" spans="20:23" x14ac:dyDescent="0.35">
      <c r="T92" s="9"/>
      <c r="U92" s="9"/>
      <c r="V92" s="9"/>
      <c r="W92" s="9"/>
    </row>
    <row r="93" spans="20:23" x14ac:dyDescent="0.35">
      <c r="T93" s="9"/>
      <c r="U93" s="9"/>
      <c r="V93" s="9"/>
      <c r="W93" s="9"/>
    </row>
    <row r="94" spans="20:23" x14ac:dyDescent="0.35">
      <c r="T94" s="9"/>
      <c r="U94" s="9"/>
      <c r="V94" s="9"/>
      <c r="W94" s="9"/>
    </row>
    <row r="95" spans="20:23" x14ac:dyDescent="0.35">
      <c r="T95" s="9"/>
      <c r="U95" s="9"/>
      <c r="V95" s="9"/>
      <c r="W95" s="9"/>
    </row>
    <row r="96" spans="20:23" x14ac:dyDescent="0.35">
      <c r="T96" s="9"/>
      <c r="U96" s="9"/>
      <c r="V96" s="9"/>
      <c r="W96" s="9"/>
    </row>
    <row r="97" spans="20:23" x14ac:dyDescent="0.35">
      <c r="T97" s="9"/>
      <c r="U97" s="9"/>
      <c r="V97" s="9"/>
      <c r="W97" s="9"/>
    </row>
    <row r="98" spans="20:23" x14ac:dyDescent="0.35">
      <c r="T98" s="9"/>
      <c r="U98" s="9"/>
      <c r="V98" s="9"/>
      <c r="W98" s="9"/>
    </row>
    <row r="99" spans="20:23" x14ac:dyDescent="0.35">
      <c r="T99" s="9"/>
      <c r="U99" s="9"/>
      <c r="V99" s="9"/>
      <c r="W99" s="9"/>
    </row>
    <row r="100" spans="20:23" x14ac:dyDescent="0.35">
      <c r="T100" s="9"/>
      <c r="U100" s="9"/>
      <c r="V100" s="9"/>
      <c r="W100" s="9"/>
    </row>
    <row r="101" spans="20:23" x14ac:dyDescent="0.35">
      <c r="T101" s="9"/>
      <c r="U101" s="9"/>
      <c r="V101" s="9"/>
      <c r="W101" s="9"/>
    </row>
    <row r="102" spans="20:23" x14ac:dyDescent="0.35">
      <c r="T102" s="9"/>
      <c r="U102" s="9"/>
      <c r="V102" s="9"/>
      <c r="W102" s="9"/>
    </row>
    <row r="103" spans="20:23" x14ac:dyDescent="0.35">
      <c r="T103" s="9"/>
      <c r="U103" s="9"/>
      <c r="V103" s="9"/>
      <c r="W103" s="9"/>
    </row>
    <row r="104" spans="20:23" x14ac:dyDescent="0.35">
      <c r="T104" s="9"/>
      <c r="U104" s="9"/>
      <c r="V104" s="9"/>
      <c r="W104" s="9"/>
    </row>
    <row r="105" spans="20:23" x14ac:dyDescent="0.35">
      <c r="T105" s="9"/>
      <c r="U105" s="9"/>
      <c r="V105" s="9"/>
      <c r="W105" s="9"/>
    </row>
    <row r="106" spans="20:23" x14ac:dyDescent="0.35">
      <c r="T106" s="9"/>
      <c r="U106" s="9"/>
      <c r="V106" s="9"/>
      <c r="W106" s="9"/>
    </row>
    <row r="107" spans="20:23" x14ac:dyDescent="0.35">
      <c r="T107" s="9"/>
      <c r="U107" s="9"/>
      <c r="V107" s="9"/>
      <c r="W107" s="9"/>
    </row>
    <row r="108" spans="20:23" x14ac:dyDescent="0.35">
      <c r="T108" s="9"/>
      <c r="U108" s="9"/>
      <c r="V108" s="9"/>
      <c r="W108" s="9"/>
    </row>
    <row r="109" spans="20:23" x14ac:dyDescent="0.35">
      <c r="T109" s="9"/>
      <c r="U109" s="9"/>
      <c r="V109" s="9"/>
      <c r="W109" s="9"/>
    </row>
    <row r="110" spans="20:23" x14ac:dyDescent="0.35">
      <c r="T110" s="9"/>
      <c r="U110" s="9"/>
      <c r="V110" s="9"/>
      <c r="W110" s="9"/>
    </row>
    <row r="111" spans="20:23" x14ac:dyDescent="0.35">
      <c r="T111" s="9"/>
      <c r="U111" s="9"/>
      <c r="V111" s="9"/>
      <c r="W111" s="9"/>
    </row>
    <row r="112" spans="20:23" x14ac:dyDescent="0.35">
      <c r="T112" s="9"/>
      <c r="U112" s="9"/>
      <c r="V112" s="9"/>
      <c r="W112" s="9"/>
    </row>
    <row r="113" spans="20:23" x14ac:dyDescent="0.35">
      <c r="T113" s="9"/>
      <c r="U113" s="9"/>
      <c r="V113" s="9"/>
      <c r="W113" s="9"/>
    </row>
    <row r="114" spans="20:23" x14ac:dyDescent="0.35">
      <c r="T114" s="9"/>
      <c r="U114" s="9"/>
      <c r="V114" s="9"/>
      <c r="W114" s="9"/>
    </row>
    <row r="115" spans="20:23" x14ac:dyDescent="0.35">
      <c r="T115" s="9"/>
      <c r="U115" s="9"/>
      <c r="V115" s="9"/>
      <c r="W115" s="9"/>
    </row>
    <row r="116" spans="20:23" x14ac:dyDescent="0.35">
      <c r="T116" s="9"/>
      <c r="U116" s="9"/>
      <c r="V116" s="9"/>
      <c r="W116" s="9"/>
    </row>
    <row r="117" spans="20:23" x14ac:dyDescent="0.35">
      <c r="T117" s="9"/>
      <c r="U117" s="9"/>
      <c r="V117" s="9"/>
      <c r="W117" s="9"/>
    </row>
    <row r="118" spans="20:23" x14ac:dyDescent="0.35">
      <c r="T118" s="9"/>
      <c r="U118" s="9"/>
      <c r="V118" s="9"/>
      <c r="W118" s="9"/>
    </row>
    <row r="119" spans="20:23" x14ac:dyDescent="0.35">
      <c r="T119" s="9"/>
      <c r="U119" s="9"/>
      <c r="V119" s="9"/>
      <c r="W119" s="9"/>
    </row>
    <row r="120" spans="20:23" x14ac:dyDescent="0.35">
      <c r="T120" s="9"/>
      <c r="U120" s="9"/>
      <c r="V120" s="9"/>
      <c r="W120" s="9"/>
    </row>
    <row r="121" spans="20:23" x14ac:dyDescent="0.35">
      <c r="T121" s="9"/>
      <c r="U121" s="9"/>
      <c r="V121" s="9"/>
      <c r="W121" s="9"/>
    </row>
    <row r="122" spans="20:23" x14ac:dyDescent="0.35">
      <c r="T122" s="9"/>
      <c r="U122" s="9"/>
      <c r="V122" s="9"/>
      <c r="W122" s="9"/>
    </row>
    <row r="123" spans="20:23" x14ac:dyDescent="0.35">
      <c r="T123" s="9"/>
      <c r="U123" s="9"/>
      <c r="V123" s="9"/>
      <c r="W123" s="9"/>
    </row>
    <row r="124" spans="20:23" x14ac:dyDescent="0.35">
      <c r="T124" s="9"/>
      <c r="U124" s="9"/>
      <c r="V124" s="9"/>
      <c r="W124" s="9"/>
    </row>
    <row r="125" spans="20:23" x14ac:dyDescent="0.35">
      <c r="T125" s="9"/>
      <c r="U125" s="9"/>
      <c r="V125" s="9"/>
      <c r="W125" s="9"/>
    </row>
    <row r="126" spans="20:23" x14ac:dyDescent="0.35">
      <c r="T126" s="9"/>
      <c r="U126" s="9"/>
      <c r="V126" s="9"/>
      <c r="W126" s="9"/>
    </row>
    <row r="127" spans="20:23" x14ac:dyDescent="0.35">
      <c r="T127" s="9"/>
      <c r="U127" s="9"/>
      <c r="V127" s="9"/>
      <c r="W127" s="9"/>
    </row>
    <row r="128" spans="20:23" x14ac:dyDescent="0.35">
      <c r="T128" s="9"/>
      <c r="U128" s="9"/>
      <c r="V128" s="9"/>
      <c r="W128" s="9"/>
    </row>
    <row r="129" spans="20:23" x14ac:dyDescent="0.35">
      <c r="T129" s="9"/>
      <c r="U129" s="9"/>
      <c r="V129" s="9"/>
      <c r="W129" s="9"/>
    </row>
    <row r="130" spans="20:23" x14ac:dyDescent="0.35">
      <c r="T130" s="9"/>
      <c r="U130" s="9"/>
      <c r="V130" s="9"/>
      <c r="W130" s="9"/>
    </row>
    <row r="131" spans="20:23" x14ac:dyDescent="0.35">
      <c r="T131" s="9"/>
      <c r="U131" s="9"/>
      <c r="V131" s="9"/>
      <c r="W131" s="9"/>
    </row>
    <row r="132" spans="20:23" x14ac:dyDescent="0.35">
      <c r="T132" s="9"/>
      <c r="U132" s="9"/>
      <c r="V132" s="9"/>
      <c r="W132" s="9"/>
    </row>
    <row r="133" spans="20:23" x14ac:dyDescent="0.35">
      <c r="T133" s="9"/>
      <c r="U133" s="9"/>
      <c r="V133" s="9"/>
      <c r="W133" s="9"/>
    </row>
    <row r="134" spans="20:23" x14ac:dyDescent="0.35">
      <c r="T134" s="9"/>
      <c r="U134" s="9"/>
      <c r="V134" s="9"/>
      <c r="W134" s="9"/>
    </row>
    <row r="135" spans="20:23" x14ac:dyDescent="0.35">
      <c r="T135" s="9"/>
      <c r="U135" s="9"/>
      <c r="V135" s="9"/>
      <c r="W135" s="9"/>
    </row>
    <row r="136" spans="20:23" x14ac:dyDescent="0.35">
      <c r="T136" s="9"/>
      <c r="U136" s="9"/>
      <c r="V136" s="9"/>
      <c r="W136" s="9"/>
    </row>
    <row r="137" spans="20:23" x14ac:dyDescent="0.35">
      <c r="T137" s="9"/>
      <c r="U137" s="9"/>
      <c r="V137" s="9"/>
      <c r="W137" s="9"/>
    </row>
    <row r="138" spans="20:23" x14ac:dyDescent="0.35">
      <c r="T138" s="9"/>
      <c r="U138" s="9"/>
      <c r="V138" s="9"/>
      <c r="W138" s="9"/>
    </row>
    <row r="139" spans="20:23" x14ac:dyDescent="0.35">
      <c r="T139" s="9"/>
      <c r="U139" s="9"/>
      <c r="V139" s="9"/>
      <c r="W139" s="9"/>
    </row>
    <row r="140" spans="20:23" x14ac:dyDescent="0.35">
      <c r="T140" s="9"/>
      <c r="U140" s="9"/>
      <c r="V140" s="9"/>
      <c r="W140" s="9"/>
    </row>
    <row r="141" spans="20:23" x14ac:dyDescent="0.35">
      <c r="T141" s="9"/>
      <c r="U141" s="9"/>
      <c r="V141" s="9"/>
      <c r="W141" s="9"/>
    </row>
    <row r="142" spans="20:23" x14ac:dyDescent="0.35">
      <c r="T142" s="9"/>
      <c r="U142" s="9"/>
      <c r="V142" s="9"/>
      <c r="W142" s="9"/>
    </row>
    <row r="143" spans="20:23" x14ac:dyDescent="0.35">
      <c r="T143" s="9"/>
      <c r="U143" s="9"/>
      <c r="V143" s="9"/>
      <c r="W143" s="9"/>
    </row>
    <row r="144" spans="20:23" x14ac:dyDescent="0.35">
      <c r="T144" s="9"/>
      <c r="U144" s="9"/>
      <c r="V144" s="9"/>
      <c r="W144" s="9"/>
    </row>
    <row r="145" spans="20:23" x14ac:dyDescent="0.35">
      <c r="T145" s="9"/>
      <c r="U145" s="9"/>
      <c r="V145" s="9"/>
      <c r="W145" s="9"/>
    </row>
    <row r="146" spans="20:23" x14ac:dyDescent="0.35">
      <c r="T146" s="9"/>
      <c r="U146" s="9"/>
      <c r="V146" s="9"/>
      <c r="W146" s="9"/>
    </row>
    <row r="147" spans="20:23" x14ac:dyDescent="0.35">
      <c r="T147" s="9"/>
      <c r="U147" s="9"/>
      <c r="V147" s="9"/>
      <c r="W147" s="9"/>
    </row>
    <row r="148" spans="20:23" x14ac:dyDescent="0.35">
      <c r="T148" s="9"/>
      <c r="U148" s="9"/>
      <c r="V148" s="9"/>
      <c r="W148" s="9"/>
    </row>
    <row r="149" spans="20:23" x14ac:dyDescent="0.35">
      <c r="T149" s="9"/>
      <c r="U149" s="9"/>
      <c r="V149" s="9"/>
      <c r="W149" s="9"/>
    </row>
    <row r="150" spans="20:23" x14ac:dyDescent="0.35">
      <c r="T150" s="9"/>
      <c r="U150" s="9"/>
      <c r="V150" s="9"/>
      <c r="W150" s="9"/>
    </row>
    <row r="151" spans="20:23" x14ac:dyDescent="0.35">
      <c r="T151" s="9"/>
      <c r="U151" s="9"/>
      <c r="V151" s="9"/>
      <c r="W151" s="9"/>
    </row>
    <row r="152" spans="20:23" x14ac:dyDescent="0.35">
      <c r="T152" s="9"/>
      <c r="U152" s="9"/>
      <c r="V152" s="9"/>
      <c r="W152" s="9"/>
    </row>
    <row r="153" spans="20:23" x14ac:dyDescent="0.35">
      <c r="T153" s="9"/>
      <c r="U153" s="9"/>
      <c r="V153" s="9"/>
      <c r="W153" s="9"/>
    </row>
    <row r="154" spans="20:23" x14ac:dyDescent="0.35">
      <c r="T154" s="9"/>
      <c r="U154" s="9"/>
      <c r="V154" s="9"/>
      <c r="W154" s="9"/>
    </row>
    <row r="155" spans="20:23" x14ac:dyDescent="0.35">
      <c r="T155" s="9"/>
      <c r="U155" s="9"/>
      <c r="V155" s="9"/>
      <c r="W155" s="9"/>
    </row>
    <row r="156" spans="20:23" x14ac:dyDescent="0.35">
      <c r="T156" s="9"/>
      <c r="U156" s="9"/>
      <c r="V156" s="9"/>
      <c r="W156" s="9"/>
    </row>
    <row r="157" spans="20:23" x14ac:dyDescent="0.35">
      <c r="T157" s="9"/>
      <c r="U157" s="9"/>
      <c r="V157" s="9"/>
      <c r="W157" s="9"/>
    </row>
    <row r="158" spans="20:23" x14ac:dyDescent="0.35">
      <c r="T158" s="9"/>
      <c r="U158" s="9"/>
      <c r="V158" s="9"/>
      <c r="W158" s="9"/>
    </row>
    <row r="159" spans="20:23" x14ac:dyDescent="0.35">
      <c r="T159" s="9"/>
      <c r="U159" s="9"/>
      <c r="V159" s="9"/>
      <c r="W159" s="9"/>
    </row>
    <row r="160" spans="20:23" x14ac:dyDescent="0.35">
      <c r="T160" s="9"/>
      <c r="U160" s="9"/>
      <c r="V160" s="9"/>
      <c r="W160" s="9"/>
    </row>
    <row r="161" spans="20:23" x14ac:dyDescent="0.35">
      <c r="T161" s="9"/>
      <c r="U161" s="9"/>
      <c r="V161" s="9"/>
      <c r="W161" s="9"/>
    </row>
    <row r="162" spans="20:23" x14ac:dyDescent="0.35">
      <c r="T162" s="9"/>
      <c r="U162" s="9"/>
      <c r="V162" s="9"/>
      <c r="W162" s="9"/>
    </row>
    <row r="163" spans="20:23" x14ac:dyDescent="0.35">
      <c r="T163" s="9"/>
      <c r="U163" s="9"/>
      <c r="V163" s="9"/>
      <c r="W163" s="9"/>
    </row>
    <row r="164" spans="20:23" x14ac:dyDescent="0.35">
      <c r="T164" s="9"/>
      <c r="U164" s="9"/>
      <c r="V164" s="9"/>
      <c r="W164" s="9"/>
    </row>
    <row r="165" spans="20:23" x14ac:dyDescent="0.35">
      <c r="T165" s="9"/>
      <c r="U165" s="9"/>
      <c r="V165" s="9"/>
      <c r="W165" s="9"/>
    </row>
    <row r="166" spans="20:23" x14ac:dyDescent="0.35">
      <c r="T166" s="9"/>
      <c r="U166" s="9"/>
      <c r="V166" s="9"/>
      <c r="W166" s="9"/>
    </row>
    <row r="167" spans="20:23" x14ac:dyDescent="0.35">
      <c r="T167" s="9"/>
      <c r="U167" s="9"/>
      <c r="V167" s="9"/>
      <c r="W167" s="9"/>
    </row>
    <row r="168" spans="20:23" x14ac:dyDescent="0.35">
      <c r="T168" s="9"/>
      <c r="U168" s="9"/>
      <c r="V168" s="9"/>
      <c r="W168" s="9"/>
    </row>
    <row r="169" spans="20:23" x14ac:dyDescent="0.35">
      <c r="T169" s="9"/>
      <c r="U169" s="9"/>
      <c r="V169" s="9"/>
      <c r="W169" s="9"/>
    </row>
    <row r="170" spans="20:23" x14ac:dyDescent="0.35">
      <c r="T170" s="9"/>
      <c r="U170" s="9"/>
      <c r="V170" s="9"/>
      <c r="W170" s="9"/>
    </row>
    <row r="171" spans="20:23" x14ac:dyDescent="0.35">
      <c r="T171" s="9"/>
      <c r="U171" s="9"/>
      <c r="V171" s="9"/>
      <c r="W171" s="9"/>
    </row>
    <row r="172" spans="20:23" x14ac:dyDescent="0.35">
      <c r="T172" s="9"/>
      <c r="U172" s="9"/>
      <c r="V172" s="9"/>
      <c r="W172" s="9"/>
    </row>
    <row r="173" spans="20:23" x14ac:dyDescent="0.35">
      <c r="T173" s="9"/>
      <c r="U173" s="9"/>
      <c r="V173" s="9"/>
      <c r="W173" s="9"/>
    </row>
    <row r="174" spans="20:23" x14ac:dyDescent="0.35">
      <c r="T174" s="9"/>
      <c r="U174" s="9"/>
      <c r="V174" s="9"/>
      <c r="W174" s="9"/>
    </row>
    <row r="175" spans="20:23" x14ac:dyDescent="0.35">
      <c r="T175" s="9"/>
      <c r="U175" s="9"/>
      <c r="V175" s="9"/>
      <c r="W175" s="9"/>
    </row>
    <row r="176" spans="20:23" x14ac:dyDescent="0.35">
      <c r="T176" s="9"/>
      <c r="U176" s="9"/>
      <c r="V176" s="9"/>
      <c r="W176" s="9"/>
    </row>
    <row r="177" spans="20:23" x14ac:dyDescent="0.35">
      <c r="T177" s="9"/>
      <c r="U177" s="9"/>
      <c r="V177" s="9"/>
      <c r="W177" s="9"/>
    </row>
    <row r="178" spans="20:23" x14ac:dyDescent="0.35">
      <c r="T178" s="9"/>
      <c r="U178" s="9"/>
      <c r="V178" s="9"/>
      <c r="W178" s="9"/>
    </row>
    <row r="179" spans="20:23" x14ac:dyDescent="0.35">
      <c r="T179" s="9"/>
      <c r="U179" s="9"/>
      <c r="V179" s="9"/>
      <c r="W179" s="9"/>
    </row>
    <row r="180" spans="20:23" x14ac:dyDescent="0.35">
      <c r="T180" s="9"/>
      <c r="U180" s="9"/>
      <c r="V180" s="9"/>
      <c r="W180" s="9"/>
    </row>
    <row r="181" spans="20:23" x14ac:dyDescent="0.35">
      <c r="T181" s="9"/>
      <c r="U181" s="9"/>
      <c r="V181" s="9"/>
      <c r="W181" s="9"/>
    </row>
    <row r="182" spans="20:23" x14ac:dyDescent="0.35">
      <c r="T182" s="9"/>
      <c r="U182" s="9"/>
      <c r="V182" s="9"/>
      <c r="W182" s="9"/>
    </row>
    <row r="183" spans="20:23" x14ac:dyDescent="0.35">
      <c r="T183" s="9"/>
      <c r="U183" s="9"/>
      <c r="V183" s="9"/>
      <c r="W183" s="9"/>
    </row>
    <row r="184" spans="20:23" x14ac:dyDescent="0.35">
      <c r="T184" s="9"/>
      <c r="U184" s="9"/>
      <c r="V184" s="9"/>
      <c r="W184" s="9"/>
    </row>
    <row r="185" spans="20:23" x14ac:dyDescent="0.35">
      <c r="T185" s="9"/>
      <c r="U185" s="9"/>
      <c r="V185" s="9"/>
      <c r="W185" s="9"/>
    </row>
    <row r="186" spans="20:23" x14ac:dyDescent="0.35">
      <c r="T186" s="9"/>
      <c r="U186" s="9"/>
      <c r="V186" s="9"/>
      <c r="W186" s="9"/>
    </row>
    <row r="187" spans="20:23" x14ac:dyDescent="0.35">
      <c r="T187" s="9"/>
      <c r="U187" s="9"/>
      <c r="V187" s="9"/>
      <c r="W187" s="9"/>
    </row>
    <row r="188" spans="20:23" x14ac:dyDescent="0.35">
      <c r="T188" s="9"/>
      <c r="U188" s="9"/>
      <c r="V188" s="9"/>
      <c r="W188" s="9"/>
    </row>
    <row r="189" spans="20:23" x14ac:dyDescent="0.35">
      <c r="T189" s="9"/>
      <c r="U189" s="9"/>
      <c r="V189" s="9"/>
      <c r="W189" s="9"/>
    </row>
    <row r="190" spans="20:23" x14ac:dyDescent="0.35">
      <c r="T190" s="9"/>
      <c r="U190" s="9"/>
      <c r="V190" s="9"/>
      <c r="W190" s="9"/>
    </row>
    <row r="191" spans="20:23" x14ac:dyDescent="0.35">
      <c r="T191" s="9"/>
      <c r="U191" s="9"/>
      <c r="V191" s="9"/>
      <c r="W191" s="9"/>
    </row>
    <row r="192" spans="20:23" x14ac:dyDescent="0.35">
      <c r="T192" s="9"/>
      <c r="U192" s="9"/>
      <c r="V192" s="9"/>
      <c r="W192" s="9"/>
    </row>
    <row r="193" spans="20:23" x14ac:dyDescent="0.35">
      <c r="T193" s="9"/>
      <c r="U193" s="9"/>
      <c r="V193" s="9"/>
      <c r="W193" s="9"/>
    </row>
    <row r="194" spans="20:23" x14ac:dyDescent="0.35">
      <c r="T194" s="9"/>
      <c r="U194" s="9"/>
      <c r="V194" s="9"/>
      <c r="W194" s="9"/>
    </row>
    <row r="195" spans="20:23" x14ac:dyDescent="0.35">
      <c r="T195" s="9"/>
      <c r="U195" s="9"/>
      <c r="V195" s="9"/>
      <c r="W195" s="9"/>
    </row>
    <row r="196" spans="20:23" x14ac:dyDescent="0.35">
      <c r="T196" s="9"/>
      <c r="U196" s="9"/>
      <c r="V196" s="9"/>
      <c r="W196" s="9"/>
    </row>
    <row r="197" spans="20:23" x14ac:dyDescent="0.35">
      <c r="T197" s="9"/>
      <c r="U197" s="9"/>
      <c r="V197" s="9"/>
      <c r="W197" s="9"/>
    </row>
    <row r="198" spans="20:23" x14ac:dyDescent="0.35">
      <c r="T198" s="9"/>
      <c r="U198" s="9"/>
      <c r="V198" s="9"/>
      <c r="W198" s="9"/>
    </row>
    <row r="199" spans="20:23" x14ac:dyDescent="0.35">
      <c r="T199" s="9"/>
      <c r="U199" s="9"/>
      <c r="V199" s="9"/>
      <c r="W199" s="9"/>
    </row>
    <row r="200" spans="20:23" x14ac:dyDescent="0.35">
      <c r="T200" s="9"/>
      <c r="U200" s="9"/>
      <c r="V200" s="9"/>
      <c r="W200" s="9"/>
    </row>
    <row r="201" spans="20:23" x14ac:dyDescent="0.35">
      <c r="T201" s="9"/>
      <c r="U201" s="9"/>
      <c r="V201" s="9"/>
      <c r="W201" s="9"/>
    </row>
    <row r="202" spans="20:23" x14ac:dyDescent="0.35">
      <c r="T202" s="9"/>
      <c r="U202" s="9"/>
      <c r="V202" s="9"/>
      <c r="W202" s="9"/>
    </row>
    <row r="203" spans="20:23" x14ac:dyDescent="0.35">
      <c r="T203" s="9"/>
      <c r="U203" s="9"/>
      <c r="V203" s="9"/>
      <c r="W203" s="9"/>
    </row>
    <row r="204" spans="20:23" x14ac:dyDescent="0.35">
      <c r="T204" s="9"/>
      <c r="U204" s="9"/>
      <c r="V204" s="9"/>
      <c r="W204" s="9"/>
    </row>
    <row r="205" spans="20:23" x14ac:dyDescent="0.35">
      <c r="T205" s="9"/>
      <c r="U205" s="9"/>
      <c r="V205" s="9"/>
      <c r="W205" s="9"/>
    </row>
    <row r="206" spans="20:23" x14ac:dyDescent="0.35">
      <c r="T206" s="9"/>
      <c r="U206" s="9"/>
      <c r="V206" s="9"/>
      <c r="W206" s="9"/>
    </row>
    <row r="207" spans="20:23" x14ac:dyDescent="0.35">
      <c r="T207" s="9"/>
      <c r="U207" s="9"/>
      <c r="V207" s="9"/>
      <c r="W207" s="9"/>
    </row>
    <row r="208" spans="20:23" x14ac:dyDescent="0.35">
      <c r="T208" s="9"/>
      <c r="U208" s="9"/>
      <c r="V208" s="9"/>
      <c r="W208" s="9"/>
    </row>
    <row r="209" spans="20:23" x14ac:dyDescent="0.35">
      <c r="T209" s="9"/>
      <c r="U209" s="9"/>
      <c r="V209" s="9"/>
      <c r="W209" s="9"/>
    </row>
    <row r="210" spans="20:23" x14ac:dyDescent="0.35">
      <c r="T210" s="9"/>
      <c r="U210" s="9"/>
      <c r="V210" s="9"/>
      <c r="W210" s="9"/>
    </row>
    <row r="211" spans="20:23" x14ac:dyDescent="0.35">
      <c r="T211" s="9"/>
      <c r="U211" s="9"/>
      <c r="V211" s="9"/>
      <c r="W211" s="9"/>
    </row>
    <row r="212" spans="20:23" x14ac:dyDescent="0.35">
      <c r="T212" s="9"/>
      <c r="U212" s="9"/>
      <c r="V212" s="9"/>
      <c r="W212" s="9"/>
    </row>
    <row r="213" spans="20:23" x14ac:dyDescent="0.35">
      <c r="T213" s="9"/>
      <c r="U213" s="9"/>
      <c r="V213" s="9"/>
      <c r="W213" s="9"/>
    </row>
    <row r="214" spans="20:23" x14ac:dyDescent="0.35">
      <c r="T214" s="9"/>
      <c r="U214" s="9"/>
      <c r="V214" s="9"/>
      <c r="W214" s="9"/>
    </row>
    <row r="215" spans="20:23" x14ac:dyDescent="0.35">
      <c r="T215" s="9"/>
      <c r="U215" s="9"/>
      <c r="V215" s="9"/>
      <c r="W215" s="9"/>
    </row>
    <row r="216" spans="20:23" x14ac:dyDescent="0.35">
      <c r="T216" s="9"/>
      <c r="U216" s="9"/>
      <c r="V216" s="9"/>
      <c r="W216" s="9"/>
    </row>
    <row r="217" spans="20:23" x14ac:dyDescent="0.35">
      <c r="T217" s="9"/>
      <c r="U217" s="9"/>
      <c r="V217" s="9"/>
      <c r="W217" s="9"/>
    </row>
    <row r="218" spans="20:23" x14ac:dyDescent="0.35">
      <c r="T218" s="9"/>
      <c r="U218" s="9"/>
      <c r="V218" s="9"/>
      <c r="W218" s="9"/>
    </row>
    <row r="219" spans="20:23" x14ac:dyDescent="0.35">
      <c r="T219" s="9"/>
      <c r="U219" s="9"/>
      <c r="V219" s="9"/>
      <c r="W219" s="9"/>
    </row>
    <row r="220" spans="20:23" x14ac:dyDescent="0.35">
      <c r="T220" s="9"/>
      <c r="U220" s="9"/>
      <c r="V220" s="9"/>
      <c r="W220" s="9"/>
    </row>
    <row r="221" spans="20:23" x14ac:dyDescent="0.35">
      <c r="T221" s="9"/>
      <c r="U221" s="9"/>
      <c r="V221" s="9"/>
      <c r="W221" s="9"/>
    </row>
    <row r="222" spans="20:23" x14ac:dyDescent="0.35">
      <c r="T222" s="9"/>
      <c r="U222" s="9"/>
      <c r="V222" s="9"/>
      <c r="W222" s="9"/>
    </row>
    <row r="223" spans="20:23" x14ac:dyDescent="0.35">
      <c r="T223" s="9"/>
      <c r="U223" s="9"/>
      <c r="V223" s="9"/>
      <c r="W223" s="9"/>
    </row>
    <row r="224" spans="20:23" x14ac:dyDescent="0.35">
      <c r="T224" s="9"/>
      <c r="U224" s="9"/>
      <c r="V224" s="9"/>
      <c r="W224" s="9"/>
    </row>
    <row r="225" spans="20:23" x14ac:dyDescent="0.35">
      <c r="T225" s="9"/>
      <c r="U225" s="9"/>
      <c r="V225" s="9"/>
      <c r="W225" s="9"/>
    </row>
    <row r="226" spans="20:23" x14ac:dyDescent="0.35">
      <c r="T226" s="9"/>
      <c r="U226" s="9"/>
      <c r="V226" s="9"/>
      <c r="W226" s="9"/>
    </row>
    <row r="227" spans="20:23" x14ac:dyDescent="0.35">
      <c r="T227" s="9"/>
      <c r="U227" s="9"/>
      <c r="V227" s="9"/>
      <c r="W227" s="9"/>
    </row>
    <row r="228" spans="20:23" x14ac:dyDescent="0.35">
      <c r="T228" s="9"/>
      <c r="U228" s="9"/>
      <c r="V228" s="9"/>
      <c r="W228" s="9"/>
    </row>
    <row r="229" spans="20:23" x14ac:dyDescent="0.35">
      <c r="T229" s="9"/>
      <c r="U229" s="9"/>
      <c r="V229" s="9"/>
      <c r="W229" s="9"/>
    </row>
    <row r="230" spans="20:23" x14ac:dyDescent="0.35">
      <c r="T230" s="9"/>
      <c r="U230" s="9"/>
      <c r="V230" s="9"/>
      <c r="W230" s="9"/>
    </row>
    <row r="231" spans="20:23" x14ac:dyDescent="0.35">
      <c r="T231" s="9"/>
      <c r="U231" s="9"/>
      <c r="V231" s="9"/>
      <c r="W231" s="9"/>
    </row>
    <row r="232" spans="20:23" x14ac:dyDescent="0.35">
      <c r="T232" s="9"/>
      <c r="U232" s="9"/>
      <c r="V232" s="9"/>
      <c r="W232" s="9"/>
    </row>
    <row r="233" spans="20:23" x14ac:dyDescent="0.35">
      <c r="T233" s="9"/>
      <c r="U233" s="9"/>
      <c r="V233" s="9"/>
      <c r="W233" s="9"/>
    </row>
    <row r="234" spans="20:23" x14ac:dyDescent="0.35">
      <c r="T234" s="9"/>
      <c r="U234" s="9"/>
      <c r="V234" s="9"/>
      <c r="W234" s="9"/>
    </row>
    <row r="235" spans="20:23" x14ac:dyDescent="0.35">
      <c r="T235" s="9"/>
      <c r="U235" s="9"/>
      <c r="V235" s="9"/>
      <c r="W235" s="9"/>
    </row>
    <row r="236" spans="20:23" x14ac:dyDescent="0.35">
      <c r="T236" s="9"/>
      <c r="U236" s="9"/>
      <c r="V236" s="9"/>
      <c r="W236" s="9"/>
    </row>
    <row r="237" spans="20:23" x14ac:dyDescent="0.35">
      <c r="T237" s="9"/>
      <c r="U237" s="9"/>
      <c r="V237" s="9"/>
      <c r="W237" s="9"/>
    </row>
    <row r="238" spans="20:23" x14ac:dyDescent="0.35">
      <c r="T238" s="9"/>
      <c r="U238" s="9"/>
      <c r="V238" s="9"/>
      <c r="W238" s="9"/>
    </row>
    <row r="239" spans="20:23" x14ac:dyDescent="0.35">
      <c r="T239" s="9"/>
      <c r="U239" s="9"/>
      <c r="V239" s="9"/>
      <c r="W239" s="9"/>
    </row>
    <row r="240" spans="20:23" x14ac:dyDescent="0.35">
      <c r="T240" s="9"/>
      <c r="U240" s="9"/>
      <c r="V240" s="9"/>
      <c r="W240" s="9"/>
    </row>
    <row r="241" spans="20:23" x14ac:dyDescent="0.35">
      <c r="T241" s="9"/>
      <c r="U241" s="9"/>
      <c r="V241" s="9"/>
      <c r="W241" s="9"/>
    </row>
    <row r="242" spans="20:23" x14ac:dyDescent="0.35">
      <c r="T242" s="9"/>
      <c r="U242" s="9"/>
      <c r="V242" s="9"/>
      <c r="W242" s="9"/>
    </row>
    <row r="243" spans="20:23" x14ac:dyDescent="0.35">
      <c r="T243" s="9"/>
      <c r="U243" s="9"/>
      <c r="V243" s="9"/>
      <c r="W243" s="9"/>
    </row>
    <row r="244" spans="20:23" x14ac:dyDescent="0.35">
      <c r="T244" s="9"/>
      <c r="U244" s="9"/>
      <c r="V244" s="9"/>
      <c r="W244" s="9"/>
    </row>
    <row r="245" spans="20:23" x14ac:dyDescent="0.35">
      <c r="T245" s="9"/>
      <c r="U245" s="9"/>
      <c r="V245" s="9"/>
      <c r="W245" s="9"/>
    </row>
    <row r="246" spans="20:23" x14ac:dyDescent="0.35">
      <c r="T246" s="9"/>
      <c r="U246" s="9"/>
      <c r="V246" s="9"/>
      <c r="W246" s="9"/>
    </row>
    <row r="247" spans="20:23" x14ac:dyDescent="0.35">
      <c r="T247" s="9"/>
      <c r="U247" s="9"/>
      <c r="V247" s="9"/>
      <c r="W247" s="9"/>
    </row>
    <row r="248" spans="20:23" x14ac:dyDescent="0.35">
      <c r="T248" s="9"/>
      <c r="U248" s="9"/>
      <c r="V248" s="9"/>
      <c r="W248" s="9"/>
    </row>
    <row r="249" spans="20:23" x14ac:dyDescent="0.35">
      <c r="T249" s="9"/>
      <c r="U249" s="9"/>
      <c r="V249" s="9"/>
      <c r="W249" s="9"/>
    </row>
    <row r="250" spans="20:23" x14ac:dyDescent="0.35">
      <c r="T250" s="9"/>
      <c r="U250" s="9"/>
      <c r="V250" s="9"/>
      <c r="W250" s="9"/>
    </row>
    <row r="251" spans="20:23" x14ac:dyDescent="0.35">
      <c r="T251" s="9"/>
      <c r="U251" s="9"/>
      <c r="V251" s="9"/>
      <c r="W251" s="9"/>
    </row>
    <row r="252" spans="20:23" x14ac:dyDescent="0.35">
      <c r="T252" s="9"/>
      <c r="U252" s="9"/>
      <c r="V252" s="9"/>
      <c r="W252" s="9"/>
    </row>
    <row r="253" spans="20:23" x14ac:dyDescent="0.35">
      <c r="T253" s="9"/>
      <c r="U253" s="9"/>
      <c r="V253" s="9"/>
      <c r="W253" s="9"/>
    </row>
    <row r="254" spans="20:23" x14ac:dyDescent="0.35">
      <c r="T254" s="9"/>
      <c r="U254" s="9"/>
      <c r="V254" s="9"/>
      <c r="W254" s="9"/>
    </row>
    <row r="255" spans="20:23" x14ac:dyDescent="0.35">
      <c r="T255" s="9"/>
      <c r="U255" s="9"/>
      <c r="V255" s="9"/>
      <c r="W255" s="9"/>
    </row>
    <row r="256" spans="20:23" x14ac:dyDescent="0.35">
      <c r="T256" s="9"/>
      <c r="U256" s="9"/>
      <c r="V256" s="9"/>
      <c r="W256" s="9"/>
    </row>
    <row r="257" spans="20:23" x14ac:dyDescent="0.35">
      <c r="T257" s="9"/>
      <c r="U257" s="9"/>
      <c r="V257" s="9"/>
      <c r="W257" s="9"/>
    </row>
    <row r="258" spans="20:23" x14ac:dyDescent="0.35">
      <c r="T258" s="9"/>
      <c r="U258" s="9"/>
      <c r="V258" s="9"/>
      <c r="W258" s="9"/>
    </row>
    <row r="259" spans="20:23" x14ac:dyDescent="0.35">
      <c r="T259" s="9"/>
      <c r="U259" s="9"/>
      <c r="V259" s="9"/>
      <c r="W259" s="9"/>
    </row>
    <row r="260" spans="20:23" x14ac:dyDescent="0.35">
      <c r="T260" s="9"/>
      <c r="U260" s="9"/>
      <c r="V260" s="9"/>
      <c r="W260" s="9"/>
    </row>
    <row r="261" spans="20:23" x14ac:dyDescent="0.35">
      <c r="T261" s="9"/>
      <c r="U261" s="9"/>
      <c r="V261" s="9"/>
      <c r="W261" s="9"/>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F9C45-0C6B-414B-9752-F6C4F433FA2C}">
  <sheetPr codeName="Sheet1"/>
  <dimension ref="A1:Y261"/>
  <sheetViews>
    <sheetView zoomScale="70" zoomScaleNormal="70" workbookViewId="0">
      <selection activeCell="Y14" sqref="Y14"/>
    </sheetView>
  </sheetViews>
  <sheetFormatPr defaultRowHeight="14.5" x14ac:dyDescent="0.35"/>
  <cols>
    <col min="1" max="1" width="14.81640625" bestFit="1" customWidth="1"/>
    <col min="2" max="2" width="21.1796875" bestFit="1" customWidth="1"/>
    <col min="3" max="3" width="11.08984375" bestFit="1" customWidth="1"/>
    <col min="4" max="4" width="10.36328125" bestFit="1" customWidth="1"/>
    <col min="5" max="5" width="13.6328125" bestFit="1" customWidth="1"/>
    <col min="6" max="6" width="80.7265625" hidden="1" customWidth="1"/>
    <col min="7" max="7" width="49.36328125" hidden="1" customWidth="1"/>
    <col min="8" max="8" width="61.36328125" bestFit="1" customWidth="1"/>
    <col min="9" max="9" width="80.7265625" hidden="1" customWidth="1"/>
    <col min="10" max="10" width="58.26953125" hidden="1" customWidth="1"/>
    <col min="11" max="11" width="24.54296875" bestFit="1" customWidth="1"/>
    <col min="12" max="12" width="80.7265625" bestFit="1" customWidth="1"/>
    <col min="13" max="13" width="10.36328125" bestFit="1" customWidth="1"/>
    <col min="14" max="14" width="14.90625" bestFit="1" customWidth="1"/>
    <col min="15" max="15" width="15.26953125" bestFit="1" customWidth="1"/>
    <col min="16" max="16" width="28" bestFit="1" customWidth="1"/>
    <col min="17" max="17" width="24.6328125" bestFit="1" customWidth="1"/>
    <col min="18" max="18" width="18.36328125" bestFit="1" customWidth="1"/>
    <col min="19" max="22" width="11.54296875" bestFit="1" customWidth="1"/>
    <col min="23" max="23" width="80.7265625" bestFit="1" customWidth="1"/>
    <col min="24" max="24" width="9.1796875" bestFit="1" customWidth="1"/>
    <col min="25" max="25" width="12" customWidth="1"/>
    <col min="26" max="26" width="80.7265625" bestFit="1" customWidth="1"/>
    <col min="27" max="27" width="8.54296875" bestFit="1" customWidth="1"/>
    <col min="28" max="28" width="11.54296875" bestFit="1" customWidth="1"/>
    <col min="29" max="29" width="9.6328125" bestFit="1" customWidth="1"/>
  </cols>
  <sheetData>
    <row r="1" spans="1:25" x14ac:dyDescent="0.35">
      <c r="A1" t="s">
        <v>0</v>
      </c>
      <c r="B1" t="s">
        <v>1</v>
      </c>
      <c r="C1" t="s">
        <v>2</v>
      </c>
      <c r="D1" t="s">
        <v>3</v>
      </c>
      <c r="E1" t="s">
        <v>28</v>
      </c>
      <c r="F1" t="s">
        <v>5</v>
      </c>
      <c r="G1" t="s">
        <v>7</v>
      </c>
      <c r="H1" t="s">
        <v>9</v>
      </c>
      <c r="I1" t="s">
        <v>10</v>
      </c>
      <c r="J1" t="s">
        <v>11</v>
      </c>
      <c r="K1" t="s">
        <v>12</v>
      </c>
      <c r="L1" t="s">
        <v>13</v>
      </c>
      <c r="M1" t="s">
        <v>14</v>
      </c>
      <c r="N1" t="s">
        <v>15</v>
      </c>
      <c r="O1" t="s">
        <v>16</v>
      </c>
      <c r="P1" t="s">
        <v>17</v>
      </c>
      <c r="Q1" t="s">
        <v>18</v>
      </c>
      <c r="R1" t="s">
        <v>19</v>
      </c>
      <c r="S1" t="s">
        <v>80</v>
      </c>
      <c r="T1" t="s">
        <v>81</v>
      </c>
      <c r="U1" t="s">
        <v>82</v>
      </c>
      <c r="V1" t="s">
        <v>83</v>
      </c>
      <c r="W1" t="s">
        <v>29</v>
      </c>
      <c r="X1" t="s">
        <v>31</v>
      </c>
      <c r="Y1" t="s">
        <v>32</v>
      </c>
    </row>
    <row r="2" spans="1:25" x14ac:dyDescent="0.35">
      <c r="A2" t="s">
        <v>135</v>
      </c>
      <c r="B2" t="s">
        <v>136</v>
      </c>
      <c r="C2">
        <v>10</v>
      </c>
      <c r="D2">
        <v>1</v>
      </c>
      <c r="E2" t="s">
        <v>30</v>
      </c>
      <c r="F2" t="s">
        <v>137</v>
      </c>
      <c r="G2" t="s">
        <v>138</v>
      </c>
      <c r="H2" t="s">
        <v>139</v>
      </c>
      <c r="I2" t="s">
        <v>140</v>
      </c>
      <c r="J2" t="s">
        <v>141</v>
      </c>
      <c r="K2" t="s">
        <v>25</v>
      </c>
      <c r="L2" s="7" t="s">
        <v>142</v>
      </c>
      <c r="M2" t="s">
        <v>143</v>
      </c>
      <c r="N2" t="s">
        <v>144</v>
      </c>
      <c r="O2" t="b">
        <v>0</v>
      </c>
      <c r="P2" t="s">
        <v>145</v>
      </c>
      <c r="Q2" t="s">
        <v>84</v>
      </c>
      <c r="R2" t="s">
        <v>84</v>
      </c>
      <c r="S2">
        <v>0</v>
      </c>
      <c r="T2" t="s">
        <v>20</v>
      </c>
      <c r="U2" t="s">
        <v>20</v>
      </c>
      <c r="W2" t="s">
        <v>320</v>
      </c>
      <c r="X2">
        <v>2</v>
      </c>
      <c r="Y2" t="s">
        <v>32</v>
      </c>
    </row>
    <row r="3" spans="1:25" x14ac:dyDescent="0.35">
      <c r="A3" t="s">
        <v>135</v>
      </c>
      <c r="B3" t="s">
        <v>136</v>
      </c>
      <c r="C3">
        <v>10</v>
      </c>
      <c r="D3">
        <v>1</v>
      </c>
      <c r="E3" t="s">
        <v>99</v>
      </c>
      <c r="F3" t="s">
        <v>137</v>
      </c>
      <c r="G3" t="s">
        <v>138</v>
      </c>
      <c r="H3" t="s">
        <v>146</v>
      </c>
      <c r="I3" t="s">
        <v>147</v>
      </c>
      <c r="J3" t="s">
        <v>141</v>
      </c>
      <c r="K3" t="s">
        <v>25</v>
      </c>
      <c r="L3" t="s">
        <v>142</v>
      </c>
      <c r="M3" t="s">
        <v>143</v>
      </c>
      <c r="N3" t="s">
        <v>144</v>
      </c>
      <c r="O3" t="b">
        <v>0</v>
      </c>
      <c r="P3" t="s">
        <v>145</v>
      </c>
      <c r="Q3" t="s">
        <v>84</v>
      </c>
      <c r="R3" t="s">
        <v>84</v>
      </c>
      <c r="S3">
        <v>0</v>
      </c>
      <c r="T3" t="s">
        <v>20</v>
      </c>
      <c r="U3" t="s">
        <v>20</v>
      </c>
      <c r="W3" t="s">
        <v>321</v>
      </c>
      <c r="X3">
        <v>2</v>
      </c>
      <c r="Y3" t="s">
        <v>32</v>
      </c>
    </row>
    <row r="4" spans="1:25" x14ac:dyDescent="0.35">
      <c r="A4" t="s">
        <v>135</v>
      </c>
      <c r="B4" t="s">
        <v>136</v>
      </c>
      <c r="C4">
        <v>10</v>
      </c>
      <c r="D4">
        <v>1</v>
      </c>
      <c r="E4" t="s">
        <v>322</v>
      </c>
      <c r="F4" t="s">
        <v>137</v>
      </c>
      <c r="G4" t="s">
        <v>138</v>
      </c>
      <c r="H4" t="s">
        <v>148</v>
      </c>
      <c r="I4" t="s">
        <v>149</v>
      </c>
      <c r="J4" t="s">
        <v>141</v>
      </c>
      <c r="K4" t="s">
        <v>25</v>
      </c>
      <c r="L4" s="7" t="s">
        <v>142</v>
      </c>
      <c r="M4" t="s">
        <v>143</v>
      </c>
      <c r="N4" t="s">
        <v>144</v>
      </c>
      <c r="O4" t="b">
        <v>0</v>
      </c>
      <c r="P4" t="s">
        <v>145</v>
      </c>
      <c r="Q4" t="s">
        <v>84</v>
      </c>
      <c r="R4" t="s">
        <v>84</v>
      </c>
      <c r="S4">
        <v>0</v>
      </c>
      <c r="T4" t="s">
        <v>20</v>
      </c>
      <c r="U4" t="s">
        <v>20</v>
      </c>
      <c r="W4" t="s">
        <v>323</v>
      </c>
      <c r="X4">
        <v>2</v>
      </c>
      <c r="Y4" t="s">
        <v>32</v>
      </c>
    </row>
    <row r="5" spans="1:25" x14ac:dyDescent="0.35">
      <c r="A5" t="s">
        <v>135</v>
      </c>
      <c r="B5" t="s">
        <v>136</v>
      </c>
      <c r="C5">
        <v>10</v>
      </c>
      <c r="D5">
        <v>1</v>
      </c>
      <c r="E5" t="s">
        <v>324</v>
      </c>
      <c r="F5" t="s">
        <v>137</v>
      </c>
      <c r="G5" t="s">
        <v>138</v>
      </c>
      <c r="H5" t="s">
        <v>150</v>
      </c>
      <c r="I5" t="s">
        <v>151</v>
      </c>
      <c r="J5" t="s">
        <v>152</v>
      </c>
      <c r="K5" t="s">
        <v>39</v>
      </c>
      <c r="L5" t="s">
        <v>153</v>
      </c>
      <c r="M5" t="s">
        <v>126</v>
      </c>
      <c r="N5" t="s">
        <v>144</v>
      </c>
      <c r="O5" t="b">
        <v>0</v>
      </c>
      <c r="P5" t="s">
        <v>154</v>
      </c>
      <c r="Q5" t="s">
        <v>84</v>
      </c>
      <c r="R5" t="s">
        <v>84</v>
      </c>
      <c r="S5">
        <v>0</v>
      </c>
      <c r="T5" t="s">
        <v>20</v>
      </c>
      <c r="U5" t="s">
        <v>20</v>
      </c>
      <c r="W5" t="s">
        <v>325</v>
      </c>
      <c r="X5">
        <v>2</v>
      </c>
      <c r="Y5" t="s">
        <v>32</v>
      </c>
    </row>
    <row r="6" spans="1:25" x14ac:dyDescent="0.35">
      <c r="A6" t="s">
        <v>135</v>
      </c>
      <c r="B6" t="s">
        <v>136</v>
      </c>
      <c r="C6">
        <v>10</v>
      </c>
      <c r="D6">
        <v>1</v>
      </c>
      <c r="E6" t="s">
        <v>326</v>
      </c>
      <c r="F6" t="s">
        <v>137</v>
      </c>
      <c r="G6" t="s">
        <v>138</v>
      </c>
      <c r="H6" s="7" t="s">
        <v>155</v>
      </c>
      <c r="I6" t="s">
        <v>156</v>
      </c>
      <c r="J6" t="s">
        <v>141</v>
      </c>
      <c r="K6" t="s">
        <v>25</v>
      </c>
      <c r="L6" t="s">
        <v>157</v>
      </c>
      <c r="M6" t="s">
        <v>20</v>
      </c>
      <c r="N6" t="s">
        <v>158</v>
      </c>
      <c r="O6" t="b">
        <v>0</v>
      </c>
      <c r="P6" t="s">
        <v>159</v>
      </c>
      <c r="Q6" t="s">
        <v>84</v>
      </c>
      <c r="R6" t="s">
        <v>84</v>
      </c>
      <c r="S6">
        <v>0</v>
      </c>
      <c r="T6" t="s">
        <v>20</v>
      </c>
      <c r="U6" t="s">
        <v>20</v>
      </c>
      <c r="W6" t="s">
        <v>327</v>
      </c>
      <c r="X6">
        <v>1</v>
      </c>
      <c r="Y6" t="s">
        <v>86</v>
      </c>
    </row>
    <row r="7" spans="1:25" x14ac:dyDescent="0.35">
      <c r="A7" t="s">
        <v>135</v>
      </c>
      <c r="B7" t="s">
        <v>136</v>
      </c>
      <c r="C7">
        <v>10</v>
      </c>
      <c r="D7">
        <v>1</v>
      </c>
      <c r="E7" t="s">
        <v>328</v>
      </c>
      <c r="F7" t="s">
        <v>137</v>
      </c>
      <c r="G7" t="s">
        <v>138</v>
      </c>
      <c r="H7" s="7" t="s">
        <v>160</v>
      </c>
      <c r="I7" t="s">
        <v>161</v>
      </c>
      <c r="J7" t="s">
        <v>125</v>
      </c>
      <c r="K7" t="s">
        <v>23</v>
      </c>
      <c r="L7" t="s">
        <v>162</v>
      </c>
      <c r="M7" t="s">
        <v>126</v>
      </c>
      <c r="N7" t="s">
        <v>163</v>
      </c>
      <c r="O7" t="b">
        <v>0</v>
      </c>
      <c r="P7" t="s">
        <v>164</v>
      </c>
      <c r="Q7" t="s">
        <v>84</v>
      </c>
      <c r="R7" t="s">
        <v>84</v>
      </c>
      <c r="S7">
        <v>0</v>
      </c>
      <c r="T7" t="s">
        <v>20</v>
      </c>
      <c r="U7" t="s">
        <v>20</v>
      </c>
      <c r="W7" t="s">
        <v>329</v>
      </c>
      <c r="X7">
        <v>2</v>
      </c>
      <c r="Y7" t="s">
        <v>32</v>
      </c>
    </row>
    <row r="8" spans="1:25" x14ac:dyDescent="0.35">
      <c r="A8" t="s">
        <v>135</v>
      </c>
      <c r="B8" t="s">
        <v>136</v>
      </c>
      <c r="C8">
        <v>10</v>
      </c>
      <c r="D8">
        <v>1</v>
      </c>
      <c r="E8" t="s">
        <v>330</v>
      </c>
      <c r="F8" t="s">
        <v>137</v>
      </c>
      <c r="G8" t="s">
        <v>138</v>
      </c>
      <c r="H8" t="s">
        <v>165</v>
      </c>
      <c r="I8" t="s">
        <v>166</v>
      </c>
      <c r="J8" t="s">
        <v>167</v>
      </c>
      <c r="K8" t="s">
        <v>27</v>
      </c>
      <c r="L8" t="s">
        <v>168</v>
      </c>
      <c r="M8" t="s">
        <v>20</v>
      </c>
      <c r="N8" s="15" t="s">
        <v>163</v>
      </c>
      <c r="O8" t="b">
        <v>0</v>
      </c>
      <c r="P8" t="s">
        <v>169</v>
      </c>
      <c r="Q8" t="s">
        <v>84</v>
      </c>
      <c r="R8" t="s">
        <v>84</v>
      </c>
      <c r="S8">
        <v>0</v>
      </c>
      <c r="T8" t="s">
        <v>20</v>
      </c>
      <c r="U8" t="s">
        <v>20</v>
      </c>
      <c r="W8" t="s">
        <v>331</v>
      </c>
      <c r="X8">
        <v>1</v>
      </c>
      <c r="Y8" t="s">
        <v>86</v>
      </c>
    </row>
    <row r="9" spans="1:25" x14ac:dyDescent="0.35">
      <c r="A9" t="s">
        <v>135</v>
      </c>
      <c r="B9" t="s">
        <v>136</v>
      </c>
      <c r="C9">
        <v>10</v>
      </c>
      <c r="D9">
        <v>1</v>
      </c>
      <c r="E9" t="s">
        <v>332</v>
      </c>
      <c r="F9" t="s">
        <v>137</v>
      </c>
      <c r="G9" t="s">
        <v>138</v>
      </c>
      <c r="H9" t="s">
        <v>170</v>
      </c>
      <c r="I9" t="s">
        <v>171</v>
      </c>
      <c r="J9" t="s">
        <v>119</v>
      </c>
      <c r="K9" t="s">
        <v>23</v>
      </c>
      <c r="L9" t="s">
        <v>162</v>
      </c>
      <c r="M9" t="s">
        <v>126</v>
      </c>
      <c r="N9" t="s">
        <v>163</v>
      </c>
      <c r="O9" t="b">
        <v>0</v>
      </c>
      <c r="P9" t="s">
        <v>164</v>
      </c>
      <c r="Q9" t="s">
        <v>84</v>
      </c>
      <c r="R9" t="s">
        <v>84</v>
      </c>
      <c r="S9">
        <v>0</v>
      </c>
      <c r="T9" t="s">
        <v>20</v>
      </c>
      <c r="U9" t="s">
        <v>20</v>
      </c>
      <c r="W9" t="s">
        <v>333</v>
      </c>
      <c r="X9">
        <v>2</v>
      </c>
      <c r="Y9" t="s">
        <v>32</v>
      </c>
    </row>
    <row r="10" spans="1:25" x14ac:dyDescent="0.35">
      <c r="A10" t="s">
        <v>135</v>
      </c>
      <c r="B10" t="s">
        <v>136</v>
      </c>
      <c r="C10">
        <v>10</v>
      </c>
      <c r="D10">
        <v>1</v>
      </c>
      <c r="E10" t="s">
        <v>334</v>
      </c>
      <c r="F10" t="s">
        <v>137</v>
      </c>
      <c r="G10" t="s">
        <v>138</v>
      </c>
      <c r="H10" t="s">
        <v>173</v>
      </c>
      <c r="I10" t="s">
        <v>174</v>
      </c>
      <c r="J10" t="s">
        <v>167</v>
      </c>
      <c r="K10" t="s">
        <v>27</v>
      </c>
      <c r="L10" t="s">
        <v>175</v>
      </c>
      <c r="M10" t="s">
        <v>20</v>
      </c>
      <c r="N10" t="s">
        <v>144</v>
      </c>
      <c r="O10" t="b">
        <v>0</v>
      </c>
      <c r="P10" t="s">
        <v>176</v>
      </c>
      <c r="Q10" t="s">
        <v>84</v>
      </c>
      <c r="R10" t="s">
        <v>84</v>
      </c>
      <c r="S10">
        <v>0</v>
      </c>
      <c r="T10" t="s">
        <v>20</v>
      </c>
      <c r="U10" t="s">
        <v>20</v>
      </c>
      <c r="W10" t="s">
        <v>335</v>
      </c>
      <c r="X10">
        <v>2</v>
      </c>
      <c r="Y10" t="s">
        <v>32</v>
      </c>
    </row>
    <row r="11" spans="1:25" x14ac:dyDescent="0.35">
      <c r="A11" t="s">
        <v>135</v>
      </c>
      <c r="B11" t="s">
        <v>136</v>
      </c>
      <c r="C11">
        <v>10</v>
      </c>
      <c r="D11">
        <v>1</v>
      </c>
      <c r="E11" t="s">
        <v>336</v>
      </c>
      <c r="F11" t="s">
        <v>137</v>
      </c>
      <c r="G11" t="s">
        <v>138</v>
      </c>
      <c r="H11" t="s">
        <v>178</v>
      </c>
      <c r="I11" t="s">
        <v>179</v>
      </c>
      <c r="J11" t="s">
        <v>125</v>
      </c>
      <c r="K11" t="s">
        <v>23</v>
      </c>
      <c r="L11" t="s">
        <v>180</v>
      </c>
      <c r="M11" t="s">
        <v>126</v>
      </c>
      <c r="N11" t="s">
        <v>144</v>
      </c>
      <c r="O11" t="b">
        <v>0</v>
      </c>
      <c r="P11" t="s">
        <v>176</v>
      </c>
      <c r="Q11" t="s">
        <v>84</v>
      </c>
      <c r="R11" t="s">
        <v>84</v>
      </c>
      <c r="S11">
        <v>0</v>
      </c>
      <c r="T11" t="s">
        <v>20</v>
      </c>
      <c r="U11" t="s">
        <v>20</v>
      </c>
      <c r="W11" t="s">
        <v>337</v>
      </c>
      <c r="X11">
        <v>2</v>
      </c>
      <c r="Y11" t="s">
        <v>32</v>
      </c>
    </row>
    <row r="12" spans="1:25" x14ac:dyDescent="0.35">
      <c r="A12" t="s">
        <v>135</v>
      </c>
      <c r="B12" t="s">
        <v>136</v>
      </c>
      <c r="C12">
        <v>10</v>
      </c>
      <c r="D12">
        <v>1</v>
      </c>
      <c r="E12" t="s">
        <v>338</v>
      </c>
      <c r="F12" t="s">
        <v>137</v>
      </c>
      <c r="G12" t="s">
        <v>138</v>
      </c>
      <c r="H12" s="7" t="s">
        <v>182</v>
      </c>
      <c r="I12" t="s">
        <v>183</v>
      </c>
      <c r="J12" t="s">
        <v>167</v>
      </c>
      <c r="K12" t="s">
        <v>27</v>
      </c>
      <c r="L12" t="s">
        <v>175</v>
      </c>
      <c r="M12" t="s">
        <v>20</v>
      </c>
      <c r="N12" t="s">
        <v>144</v>
      </c>
      <c r="O12" t="b">
        <v>0</v>
      </c>
      <c r="P12" t="s">
        <v>176</v>
      </c>
      <c r="Q12" t="s">
        <v>84</v>
      </c>
      <c r="R12" t="s">
        <v>84</v>
      </c>
      <c r="S12">
        <v>0</v>
      </c>
      <c r="T12" t="s">
        <v>20</v>
      </c>
      <c r="U12" t="s">
        <v>20</v>
      </c>
      <c r="W12" t="s">
        <v>339</v>
      </c>
      <c r="X12">
        <v>2</v>
      </c>
      <c r="Y12" t="s">
        <v>32</v>
      </c>
    </row>
    <row r="13" spans="1:25" x14ac:dyDescent="0.35">
      <c r="A13" t="s">
        <v>135</v>
      </c>
      <c r="B13" t="s">
        <v>136</v>
      </c>
      <c r="C13">
        <v>10</v>
      </c>
      <c r="D13">
        <v>1</v>
      </c>
      <c r="E13" t="s">
        <v>340</v>
      </c>
      <c r="F13" t="s">
        <v>137</v>
      </c>
      <c r="G13" t="s">
        <v>138</v>
      </c>
      <c r="H13" t="s">
        <v>185</v>
      </c>
      <c r="I13" t="s">
        <v>186</v>
      </c>
      <c r="J13" t="s">
        <v>125</v>
      </c>
      <c r="K13" t="s">
        <v>23</v>
      </c>
      <c r="L13" t="s">
        <v>187</v>
      </c>
      <c r="M13" t="s">
        <v>20</v>
      </c>
      <c r="N13" t="s">
        <v>188</v>
      </c>
      <c r="O13" t="b">
        <v>0</v>
      </c>
      <c r="P13" t="s">
        <v>189</v>
      </c>
      <c r="Q13" t="s">
        <v>84</v>
      </c>
      <c r="R13" t="s">
        <v>84</v>
      </c>
      <c r="S13">
        <v>0</v>
      </c>
      <c r="T13" t="s">
        <v>20</v>
      </c>
      <c r="U13" t="s">
        <v>20</v>
      </c>
      <c r="W13" t="s">
        <v>341</v>
      </c>
      <c r="X13">
        <v>1</v>
      </c>
      <c r="Y13" t="s">
        <v>86</v>
      </c>
    </row>
    <row r="14" spans="1:25" x14ac:dyDescent="0.35">
      <c r="A14" t="s">
        <v>135</v>
      </c>
      <c r="B14" t="s">
        <v>136</v>
      </c>
      <c r="C14">
        <v>10</v>
      </c>
      <c r="D14">
        <v>1</v>
      </c>
      <c r="E14" t="s">
        <v>342</v>
      </c>
      <c r="F14" t="s">
        <v>137</v>
      </c>
      <c r="G14" t="s">
        <v>138</v>
      </c>
      <c r="H14" t="s">
        <v>191</v>
      </c>
      <c r="I14" t="s">
        <v>192</v>
      </c>
      <c r="J14" t="s">
        <v>125</v>
      </c>
      <c r="K14" t="s">
        <v>23</v>
      </c>
      <c r="L14" t="s">
        <v>180</v>
      </c>
      <c r="M14" t="s">
        <v>126</v>
      </c>
      <c r="N14" t="s">
        <v>144</v>
      </c>
      <c r="O14" t="b">
        <v>0</v>
      </c>
      <c r="P14" t="s">
        <v>176</v>
      </c>
      <c r="Q14" t="s">
        <v>84</v>
      </c>
      <c r="R14" t="s">
        <v>84</v>
      </c>
      <c r="S14">
        <v>0</v>
      </c>
      <c r="T14" t="s">
        <v>20</v>
      </c>
      <c r="U14" t="s">
        <v>20</v>
      </c>
      <c r="W14" t="s">
        <v>343</v>
      </c>
      <c r="X14">
        <v>2</v>
      </c>
      <c r="Y14" t="s">
        <v>32</v>
      </c>
    </row>
    <row r="15" spans="1:25" x14ac:dyDescent="0.35">
      <c r="A15" t="s">
        <v>135</v>
      </c>
      <c r="B15" t="s">
        <v>136</v>
      </c>
      <c r="C15">
        <v>10</v>
      </c>
      <c r="D15">
        <v>1</v>
      </c>
      <c r="E15" t="s">
        <v>344</v>
      </c>
      <c r="F15" t="s">
        <v>137</v>
      </c>
      <c r="G15" t="s">
        <v>138</v>
      </c>
      <c r="H15" t="s">
        <v>194</v>
      </c>
      <c r="I15" t="s">
        <v>195</v>
      </c>
      <c r="J15" t="s">
        <v>119</v>
      </c>
      <c r="K15" t="s">
        <v>23</v>
      </c>
      <c r="L15" t="s">
        <v>180</v>
      </c>
      <c r="M15" t="s">
        <v>126</v>
      </c>
      <c r="N15" t="s">
        <v>144</v>
      </c>
      <c r="O15" t="b">
        <v>0</v>
      </c>
      <c r="P15" t="s">
        <v>176</v>
      </c>
      <c r="Q15" t="s">
        <v>84</v>
      </c>
      <c r="R15" t="s">
        <v>84</v>
      </c>
      <c r="S15">
        <v>0</v>
      </c>
      <c r="T15" t="s">
        <v>20</v>
      </c>
      <c r="U15" t="s">
        <v>20</v>
      </c>
      <c r="W15" t="s">
        <v>345</v>
      </c>
      <c r="X15">
        <v>2</v>
      </c>
      <c r="Y15" t="s">
        <v>32</v>
      </c>
    </row>
    <row r="16" spans="1:25" x14ac:dyDescent="0.35">
      <c r="A16" t="s">
        <v>135</v>
      </c>
      <c r="B16" t="s">
        <v>136</v>
      </c>
      <c r="C16">
        <v>10</v>
      </c>
      <c r="D16">
        <v>1</v>
      </c>
      <c r="E16" t="s">
        <v>346</v>
      </c>
      <c r="F16" t="s">
        <v>137</v>
      </c>
      <c r="G16" t="s">
        <v>138</v>
      </c>
      <c r="H16" t="s">
        <v>197</v>
      </c>
      <c r="I16" t="s">
        <v>198</v>
      </c>
      <c r="J16" t="s">
        <v>119</v>
      </c>
      <c r="K16" t="s">
        <v>23</v>
      </c>
      <c r="L16" t="s">
        <v>180</v>
      </c>
      <c r="M16" t="s">
        <v>126</v>
      </c>
      <c r="N16" t="s">
        <v>144</v>
      </c>
      <c r="O16" t="b">
        <v>0</v>
      </c>
      <c r="P16" t="s">
        <v>176</v>
      </c>
      <c r="Q16" t="s">
        <v>84</v>
      </c>
      <c r="R16" t="s">
        <v>84</v>
      </c>
      <c r="S16">
        <v>0</v>
      </c>
      <c r="T16" t="s">
        <v>20</v>
      </c>
      <c r="U16" t="s">
        <v>20</v>
      </c>
      <c r="W16" t="s">
        <v>347</v>
      </c>
      <c r="X16">
        <v>2</v>
      </c>
      <c r="Y16" t="s">
        <v>32</v>
      </c>
    </row>
    <row r="17" spans="1:25" x14ac:dyDescent="0.35">
      <c r="A17" t="s">
        <v>135</v>
      </c>
      <c r="B17" t="s">
        <v>136</v>
      </c>
      <c r="C17">
        <v>10</v>
      </c>
      <c r="D17">
        <v>1</v>
      </c>
      <c r="E17" t="s">
        <v>85</v>
      </c>
      <c r="F17" t="s">
        <v>137</v>
      </c>
      <c r="G17" t="s">
        <v>199</v>
      </c>
      <c r="H17" t="s">
        <v>200</v>
      </c>
      <c r="I17" t="s">
        <v>201</v>
      </c>
      <c r="J17" t="s">
        <v>167</v>
      </c>
      <c r="K17" t="s">
        <v>27</v>
      </c>
      <c r="L17" t="s">
        <v>175</v>
      </c>
      <c r="M17" t="s">
        <v>20</v>
      </c>
      <c r="N17" t="s">
        <v>144</v>
      </c>
      <c r="O17" t="b">
        <v>0</v>
      </c>
      <c r="P17" t="s">
        <v>145</v>
      </c>
      <c r="Q17" t="s">
        <v>84</v>
      </c>
      <c r="R17" t="s">
        <v>84</v>
      </c>
      <c r="S17">
        <v>0</v>
      </c>
      <c r="T17" t="s">
        <v>20</v>
      </c>
      <c r="U17" t="s">
        <v>20</v>
      </c>
      <c r="W17" t="s">
        <v>348</v>
      </c>
      <c r="X17">
        <v>2</v>
      </c>
      <c r="Y17" t="s">
        <v>32</v>
      </c>
    </row>
    <row r="18" spans="1:25" x14ac:dyDescent="0.35">
      <c r="A18" t="s">
        <v>135</v>
      </c>
      <c r="B18" t="s">
        <v>136</v>
      </c>
      <c r="C18">
        <v>10</v>
      </c>
      <c r="D18">
        <v>1</v>
      </c>
      <c r="E18" t="s">
        <v>87</v>
      </c>
      <c r="F18" t="s">
        <v>137</v>
      </c>
      <c r="G18" t="s">
        <v>199</v>
      </c>
      <c r="H18" t="s">
        <v>202</v>
      </c>
      <c r="I18" t="s">
        <v>203</v>
      </c>
      <c r="J18" t="s">
        <v>20</v>
      </c>
      <c r="K18" t="s">
        <v>20</v>
      </c>
      <c r="L18" t="s">
        <v>175</v>
      </c>
      <c r="M18" t="s">
        <v>20</v>
      </c>
      <c r="N18" t="s">
        <v>144</v>
      </c>
      <c r="O18" t="b">
        <v>0</v>
      </c>
      <c r="P18" t="s">
        <v>204</v>
      </c>
      <c r="Q18" t="s">
        <v>84</v>
      </c>
      <c r="R18" t="s">
        <v>84</v>
      </c>
      <c r="S18">
        <v>0</v>
      </c>
      <c r="T18" t="s">
        <v>20</v>
      </c>
      <c r="U18" t="s">
        <v>20</v>
      </c>
      <c r="W18" t="s">
        <v>349</v>
      </c>
      <c r="X18">
        <v>1</v>
      </c>
      <c r="Y18" t="s">
        <v>86</v>
      </c>
    </row>
    <row r="19" spans="1:25" x14ac:dyDescent="0.35">
      <c r="A19" t="s">
        <v>135</v>
      </c>
      <c r="B19" t="s">
        <v>136</v>
      </c>
      <c r="C19">
        <v>10</v>
      </c>
      <c r="D19">
        <v>1</v>
      </c>
      <c r="E19" t="s">
        <v>350</v>
      </c>
      <c r="F19" t="s">
        <v>137</v>
      </c>
      <c r="G19" t="s">
        <v>199</v>
      </c>
      <c r="H19" s="7" t="s">
        <v>205</v>
      </c>
      <c r="I19" t="s">
        <v>206</v>
      </c>
      <c r="J19" t="s">
        <v>152</v>
      </c>
      <c r="K19" t="s">
        <v>39</v>
      </c>
      <c r="L19" t="s">
        <v>153</v>
      </c>
      <c r="M19" t="s">
        <v>126</v>
      </c>
      <c r="N19" t="s">
        <v>144</v>
      </c>
      <c r="O19" t="b">
        <v>0</v>
      </c>
      <c r="P19" t="s">
        <v>154</v>
      </c>
      <c r="Q19" t="s">
        <v>84</v>
      </c>
      <c r="R19" t="s">
        <v>84</v>
      </c>
      <c r="S19">
        <v>0</v>
      </c>
      <c r="T19" t="s">
        <v>20</v>
      </c>
      <c r="U19" t="s">
        <v>20</v>
      </c>
      <c r="W19" t="s">
        <v>351</v>
      </c>
      <c r="X19">
        <v>2</v>
      </c>
      <c r="Y19" t="s">
        <v>32</v>
      </c>
    </row>
    <row r="20" spans="1:25" x14ac:dyDescent="0.35">
      <c r="A20" t="s">
        <v>135</v>
      </c>
      <c r="B20" t="s">
        <v>136</v>
      </c>
      <c r="C20">
        <v>10</v>
      </c>
      <c r="D20">
        <v>1</v>
      </c>
      <c r="E20" t="s">
        <v>352</v>
      </c>
      <c r="F20" t="s">
        <v>137</v>
      </c>
      <c r="G20" t="s">
        <v>199</v>
      </c>
      <c r="H20" t="s">
        <v>207</v>
      </c>
      <c r="I20" t="s">
        <v>208</v>
      </c>
      <c r="J20" t="s">
        <v>167</v>
      </c>
      <c r="K20" t="s">
        <v>27</v>
      </c>
      <c r="L20" t="s">
        <v>175</v>
      </c>
      <c r="M20" t="s">
        <v>20</v>
      </c>
      <c r="N20" t="s">
        <v>144</v>
      </c>
      <c r="O20" t="b">
        <v>0</v>
      </c>
      <c r="P20" t="s">
        <v>20</v>
      </c>
      <c r="Q20" t="s">
        <v>84</v>
      </c>
      <c r="R20" t="s">
        <v>84</v>
      </c>
      <c r="S20">
        <v>0</v>
      </c>
      <c r="T20" t="s">
        <v>20</v>
      </c>
      <c r="U20" t="s">
        <v>20</v>
      </c>
      <c r="W20" t="s">
        <v>353</v>
      </c>
      <c r="X20">
        <v>2</v>
      </c>
      <c r="Y20" t="s">
        <v>32</v>
      </c>
    </row>
    <row r="21" spans="1:25" x14ac:dyDescent="0.35">
      <c r="A21" t="s">
        <v>135</v>
      </c>
      <c r="B21" t="s">
        <v>136</v>
      </c>
      <c r="C21">
        <v>10</v>
      </c>
      <c r="D21">
        <v>1</v>
      </c>
      <c r="E21" t="s">
        <v>354</v>
      </c>
      <c r="F21" t="s">
        <v>137</v>
      </c>
      <c r="G21" t="s">
        <v>199</v>
      </c>
      <c r="H21" t="s">
        <v>209</v>
      </c>
      <c r="I21" t="s">
        <v>210</v>
      </c>
      <c r="J21" t="s">
        <v>167</v>
      </c>
      <c r="K21" t="s">
        <v>27</v>
      </c>
      <c r="L21" t="s">
        <v>175</v>
      </c>
      <c r="M21" t="s">
        <v>20</v>
      </c>
      <c r="N21" t="s">
        <v>144</v>
      </c>
      <c r="O21" t="b">
        <v>0</v>
      </c>
      <c r="P21" t="s">
        <v>176</v>
      </c>
      <c r="Q21" t="s">
        <v>84</v>
      </c>
      <c r="R21" t="s">
        <v>84</v>
      </c>
      <c r="S21">
        <v>0</v>
      </c>
      <c r="T21" t="s">
        <v>20</v>
      </c>
      <c r="U21" t="s">
        <v>20</v>
      </c>
      <c r="W21" t="s">
        <v>355</v>
      </c>
      <c r="X21">
        <v>2</v>
      </c>
      <c r="Y21" t="s">
        <v>32</v>
      </c>
    </row>
    <row r="22" spans="1:25" x14ac:dyDescent="0.35">
      <c r="A22" t="s">
        <v>135</v>
      </c>
      <c r="B22" t="s">
        <v>136</v>
      </c>
      <c r="C22">
        <v>10</v>
      </c>
      <c r="D22">
        <v>1</v>
      </c>
      <c r="E22" t="s">
        <v>356</v>
      </c>
      <c r="F22" t="s">
        <v>137</v>
      </c>
      <c r="G22" t="s">
        <v>199</v>
      </c>
      <c r="H22" t="s">
        <v>211</v>
      </c>
      <c r="I22" t="s">
        <v>210</v>
      </c>
      <c r="J22" t="s">
        <v>167</v>
      </c>
      <c r="K22" t="s">
        <v>27</v>
      </c>
      <c r="L22" t="s">
        <v>175</v>
      </c>
      <c r="M22" t="s">
        <v>20</v>
      </c>
      <c r="N22" t="s">
        <v>144</v>
      </c>
      <c r="O22" t="b">
        <v>0</v>
      </c>
      <c r="P22" t="s">
        <v>176</v>
      </c>
      <c r="Q22" t="s">
        <v>84</v>
      </c>
      <c r="R22" t="s">
        <v>84</v>
      </c>
      <c r="S22">
        <v>0</v>
      </c>
      <c r="T22" t="s">
        <v>20</v>
      </c>
      <c r="U22" t="s">
        <v>20</v>
      </c>
      <c r="W22" t="s">
        <v>357</v>
      </c>
      <c r="X22">
        <v>2</v>
      </c>
      <c r="Y22" t="s">
        <v>32</v>
      </c>
    </row>
    <row r="23" spans="1:25" x14ac:dyDescent="0.35">
      <c r="A23" t="s">
        <v>135</v>
      </c>
      <c r="B23" t="s">
        <v>136</v>
      </c>
      <c r="C23">
        <v>10</v>
      </c>
      <c r="D23">
        <v>1</v>
      </c>
      <c r="E23" t="s">
        <v>358</v>
      </c>
      <c r="F23" t="s">
        <v>137</v>
      </c>
      <c r="G23" t="s">
        <v>199</v>
      </c>
      <c r="H23" t="s">
        <v>212</v>
      </c>
      <c r="I23" t="s">
        <v>213</v>
      </c>
      <c r="J23" t="s">
        <v>167</v>
      </c>
      <c r="K23" t="s">
        <v>27</v>
      </c>
      <c r="L23" t="s">
        <v>175</v>
      </c>
      <c r="M23" t="s">
        <v>20</v>
      </c>
      <c r="N23" t="s">
        <v>144</v>
      </c>
      <c r="O23" t="b">
        <v>0</v>
      </c>
      <c r="P23" t="s">
        <v>176</v>
      </c>
      <c r="Q23" t="s">
        <v>84</v>
      </c>
      <c r="R23" t="s">
        <v>84</v>
      </c>
      <c r="S23">
        <v>0</v>
      </c>
      <c r="T23" t="s">
        <v>20</v>
      </c>
      <c r="U23" t="s">
        <v>20</v>
      </c>
      <c r="W23" t="s">
        <v>359</v>
      </c>
      <c r="X23">
        <v>2</v>
      </c>
      <c r="Y23" t="s">
        <v>32</v>
      </c>
    </row>
    <row r="24" spans="1:25" x14ac:dyDescent="0.35">
      <c r="A24" t="s">
        <v>135</v>
      </c>
      <c r="B24" t="s">
        <v>136</v>
      </c>
      <c r="C24">
        <v>10</v>
      </c>
      <c r="D24">
        <v>1</v>
      </c>
      <c r="E24" t="s">
        <v>100</v>
      </c>
      <c r="F24" t="s">
        <v>214</v>
      </c>
      <c r="G24" t="s">
        <v>215</v>
      </c>
      <c r="H24" t="s">
        <v>216</v>
      </c>
      <c r="I24" t="s">
        <v>217</v>
      </c>
      <c r="J24" t="s">
        <v>218</v>
      </c>
      <c r="K24" t="s">
        <v>27</v>
      </c>
      <c r="L24" t="s">
        <v>175</v>
      </c>
      <c r="M24" t="s">
        <v>20</v>
      </c>
      <c r="N24" t="s">
        <v>144</v>
      </c>
      <c r="O24" t="b">
        <v>0</v>
      </c>
      <c r="P24" t="s">
        <v>219</v>
      </c>
      <c r="Q24" t="s">
        <v>84</v>
      </c>
      <c r="R24" t="s">
        <v>84</v>
      </c>
      <c r="S24">
        <v>0</v>
      </c>
      <c r="T24" t="s">
        <v>20</v>
      </c>
      <c r="U24" t="s">
        <v>20</v>
      </c>
      <c r="W24" t="s">
        <v>360</v>
      </c>
      <c r="X24">
        <v>1</v>
      </c>
      <c r="Y24" t="s">
        <v>86</v>
      </c>
    </row>
    <row r="25" spans="1:25" x14ac:dyDescent="0.35">
      <c r="A25" t="s">
        <v>135</v>
      </c>
      <c r="B25" t="s">
        <v>136</v>
      </c>
      <c r="C25">
        <v>10</v>
      </c>
      <c r="D25">
        <v>1</v>
      </c>
      <c r="E25" t="s">
        <v>361</v>
      </c>
      <c r="F25" t="s">
        <v>214</v>
      </c>
      <c r="G25" t="s">
        <v>220</v>
      </c>
      <c r="H25" s="7" t="s">
        <v>221</v>
      </c>
      <c r="I25" t="s">
        <v>222</v>
      </c>
      <c r="J25" t="s">
        <v>167</v>
      </c>
      <c r="K25" t="s">
        <v>27</v>
      </c>
      <c r="L25" t="s">
        <v>175</v>
      </c>
      <c r="M25" t="s">
        <v>20</v>
      </c>
      <c r="N25" t="s">
        <v>144</v>
      </c>
      <c r="O25" t="b">
        <v>0</v>
      </c>
      <c r="P25" t="s">
        <v>219</v>
      </c>
      <c r="Q25" t="s">
        <v>84</v>
      </c>
      <c r="R25" t="s">
        <v>84</v>
      </c>
      <c r="S25">
        <v>0</v>
      </c>
      <c r="T25" t="s">
        <v>20</v>
      </c>
      <c r="U25" t="s">
        <v>20</v>
      </c>
      <c r="W25" t="s">
        <v>362</v>
      </c>
      <c r="X25">
        <v>1</v>
      </c>
      <c r="Y25" t="s">
        <v>86</v>
      </c>
    </row>
    <row r="26" spans="1:25" x14ac:dyDescent="0.35">
      <c r="A26" t="s">
        <v>135</v>
      </c>
      <c r="B26" t="s">
        <v>136</v>
      </c>
      <c r="C26">
        <v>10</v>
      </c>
      <c r="D26">
        <v>1</v>
      </c>
      <c r="E26" t="s">
        <v>363</v>
      </c>
      <c r="F26" t="s">
        <v>214</v>
      </c>
      <c r="G26" t="s">
        <v>223</v>
      </c>
      <c r="H26" t="s">
        <v>224</v>
      </c>
      <c r="I26" t="s">
        <v>225</v>
      </c>
      <c r="J26" t="s">
        <v>167</v>
      </c>
      <c r="K26" t="s">
        <v>27</v>
      </c>
      <c r="L26" t="s">
        <v>175</v>
      </c>
      <c r="M26" t="s">
        <v>20</v>
      </c>
      <c r="N26" t="s">
        <v>144</v>
      </c>
      <c r="O26" t="b">
        <v>0</v>
      </c>
      <c r="P26" t="s">
        <v>219</v>
      </c>
      <c r="Q26" t="s">
        <v>84</v>
      </c>
      <c r="R26" t="s">
        <v>84</v>
      </c>
      <c r="S26">
        <v>0</v>
      </c>
      <c r="T26" t="s">
        <v>20</v>
      </c>
      <c r="U26" t="s">
        <v>20</v>
      </c>
      <c r="W26" t="s">
        <v>364</v>
      </c>
      <c r="X26">
        <v>1</v>
      </c>
      <c r="Y26" t="s">
        <v>86</v>
      </c>
    </row>
    <row r="27" spans="1:25" x14ac:dyDescent="0.35">
      <c r="A27" t="s">
        <v>135</v>
      </c>
      <c r="B27" t="s">
        <v>136</v>
      </c>
      <c r="C27">
        <v>10</v>
      </c>
      <c r="D27">
        <v>1</v>
      </c>
      <c r="E27" t="s">
        <v>88</v>
      </c>
      <c r="F27" t="s">
        <v>226</v>
      </c>
      <c r="G27" t="s">
        <v>227</v>
      </c>
      <c r="H27" t="s">
        <v>139</v>
      </c>
      <c r="I27" t="s">
        <v>228</v>
      </c>
      <c r="J27" t="s">
        <v>141</v>
      </c>
      <c r="K27" t="s">
        <v>25</v>
      </c>
      <c r="L27" t="s">
        <v>142</v>
      </c>
      <c r="M27" t="s">
        <v>143</v>
      </c>
      <c r="N27" t="s">
        <v>144</v>
      </c>
      <c r="O27" t="b">
        <v>0</v>
      </c>
      <c r="P27" t="s">
        <v>145</v>
      </c>
      <c r="Q27" t="s">
        <v>84</v>
      </c>
      <c r="R27" t="s">
        <v>84</v>
      </c>
      <c r="S27">
        <v>0</v>
      </c>
      <c r="T27" t="s">
        <v>20</v>
      </c>
      <c r="U27" t="s">
        <v>20</v>
      </c>
      <c r="W27" t="s">
        <v>320</v>
      </c>
      <c r="X27">
        <v>2</v>
      </c>
      <c r="Y27" t="s">
        <v>32</v>
      </c>
    </row>
    <row r="28" spans="1:25" x14ac:dyDescent="0.35">
      <c r="A28" t="s">
        <v>135</v>
      </c>
      <c r="B28" t="s">
        <v>136</v>
      </c>
      <c r="C28">
        <v>10</v>
      </c>
      <c r="D28">
        <v>1</v>
      </c>
      <c r="E28" t="s">
        <v>89</v>
      </c>
      <c r="F28" t="s">
        <v>226</v>
      </c>
      <c r="G28" t="s">
        <v>227</v>
      </c>
      <c r="H28" t="s">
        <v>146</v>
      </c>
      <c r="I28" t="s">
        <v>229</v>
      </c>
      <c r="J28" t="s">
        <v>141</v>
      </c>
      <c r="K28" t="s">
        <v>25</v>
      </c>
      <c r="L28" t="s">
        <v>142</v>
      </c>
      <c r="M28" t="s">
        <v>143</v>
      </c>
      <c r="N28" t="s">
        <v>144</v>
      </c>
      <c r="O28" t="b">
        <v>0</v>
      </c>
      <c r="P28" t="s">
        <v>145</v>
      </c>
      <c r="Q28" t="s">
        <v>84</v>
      </c>
      <c r="R28" t="s">
        <v>84</v>
      </c>
      <c r="S28">
        <v>0</v>
      </c>
      <c r="T28" t="s">
        <v>20</v>
      </c>
      <c r="U28" t="s">
        <v>20</v>
      </c>
      <c r="W28" t="s">
        <v>321</v>
      </c>
      <c r="X28">
        <v>2</v>
      </c>
      <c r="Y28" t="s">
        <v>32</v>
      </c>
    </row>
    <row r="29" spans="1:25" x14ac:dyDescent="0.35">
      <c r="A29" t="s">
        <v>135</v>
      </c>
      <c r="B29" t="s">
        <v>136</v>
      </c>
      <c r="C29">
        <v>10</v>
      </c>
      <c r="D29">
        <v>1</v>
      </c>
      <c r="E29" t="s">
        <v>101</v>
      </c>
      <c r="F29" t="s">
        <v>226</v>
      </c>
      <c r="G29" t="s">
        <v>227</v>
      </c>
      <c r="H29" t="s">
        <v>148</v>
      </c>
      <c r="I29" t="s">
        <v>230</v>
      </c>
      <c r="J29" t="s">
        <v>141</v>
      </c>
      <c r="K29" t="s">
        <v>25</v>
      </c>
      <c r="L29" t="s">
        <v>142</v>
      </c>
      <c r="M29" t="s">
        <v>143</v>
      </c>
      <c r="N29" t="s">
        <v>144</v>
      </c>
      <c r="O29" t="b">
        <v>0</v>
      </c>
      <c r="P29" t="s">
        <v>145</v>
      </c>
      <c r="Q29" t="s">
        <v>84</v>
      </c>
      <c r="R29" t="s">
        <v>84</v>
      </c>
      <c r="S29">
        <v>0</v>
      </c>
      <c r="T29" t="s">
        <v>20</v>
      </c>
      <c r="U29" t="s">
        <v>20</v>
      </c>
      <c r="W29" t="s">
        <v>323</v>
      </c>
      <c r="X29">
        <v>2</v>
      </c>
      <c r="Y29" t="s">
        <v>32</v>
      </c>
    </row>
    <row r="30" spans="1:25" x14ac:dyDescent="0.35">
      <c r="A30" t="s">
        <v>135</v>
      </c>
      <c r="B30" t="s">
        <v>136</v>
      </c>
      <c r="C30">
        <v>10</v>
      </c>
      <c r="D30">
        <v>1</v>
      </c>
      <c r="E30" t="s">
        <v>365</v>
      </c>
      <c r="F30" t="s">
        <v>226</v>
      </c>
      <c r="G30" t="s">
        <v>227</v>
      </c>
      <c r="H30" t="s">
        <v>150</v>
      </c>
      <c r="I30" t="s">
        <v>231</v>
      </c>
      <c r="J30" t="s">
        <v>152</v>
      </c>
      <c r="K30" t="s">
        <v>39</v>
      </c>
      <c r="L30" t="s">
        <v>153</v>
      </c>
      <c r="M30" t="s">
        <v>126</v>
      </c>
      <c r="N30" t="s">
        <v>144</v>
      </c>
      <c r="O30" t="b">
        <v>0</v>
      </c>
      <c r="P30" t="s">
        <v>20</v>
      </c>
      <c r="Q30" t="s">
        <v>84</v>
      </c>
      <c r="R30" t="s">
        <v>84</v>
      </c>
      <c r="S30">
        <v>0</v>
      </c>
      <c r="T30" t="s">
        <v>20</v>
      </c>
      <c r="U30" t="s">
        <v>20</v>
      </c>
      <c r="W30" t="s">
        <v>325</v>
      </c>
      <c r="X30">
        <v>2</v>
      </c>
      <c r="Y30" t="s">
        <v>32</v>
      </c>
    </row>
    <row r="31" spans="1:25" x14ac:dyDescent="0.35">
      <c r="A31" t="s">
        <v>135</v>
      </c>
      <c r="B31" t="s">
        <v>136</v>
      </c>
      <c r="C31">
        <v>10</v>
      </c>
      <c r="D31">
        <v>1</v>
      </c>
      <c r="E31" t="s">
        <v>366</v>
      </c>
      <c r="F31" t="s">
        <v>226</v>
      </c>
      <c r="G31" t="s">
        <v>227</v>
      </c>
      <c r="H31" t="s">
        <v>232</v>
      </c>
      <c r="I31" t="s">
        <v>233</v>
      </c>
      <c r="J31" t="s">
        <v>141</v>
      </c>
      <c r="K31" t="s">
        <v>25</v>
      </c>
      <c r="L31" t="s">
        <v>157</v>
      </c>
      <c r="M31" t="s">
        <v>20</v>
      </c>
      <c r="N31" t="s">
        <v>20</v>
      </c>
      <c r="O31" t="b">
        <v>0</v>
      </c>
      <c r="P31" t="s">
        <v>164</v>
      </c>
      <c r="Q31" t="s">
        <v>84</v>
      </c>
      <c r="R31" t="s">
        <v>84</v>
      </c>
      <c r="S31">
        <v>0</v>
      </c>
      <c r="T31" t="s">
        <v>20</v>
      </c>
      <c r="U31" t="s">
        <v>20</v>
      </c>
      <c r="W31" t="s">
        <v>367</v>
      </c>
      <c r="X31">
        <v>1</v>
      </c>
      <c r="Y31" t="s">
        <v>86</v>
      </c>
    </row>
    <row r="32" spans="1:25" x14ac:dyDescent="0.35">
      <c r="A32" t="s">
        <v>135</v>
      </c>
      <c r="B32" t="s">
        <v>136</v>
      </c>
      <c r="C32">
        <v>10</v>
      </c>
      <c r="D32">
        <v>1</v>
      </c>
      <c r="E32" t="s">
        <v>368</v>
      </c>
      <c r="F32" t="s">
        <v>226</v>
      </c>
      <c r="G32" t="s">
        <v>227</v>
      </c>
      <c r="H32" t="s">
        <v>160</v>
      </c>
      <c r="I32" t="s">
        <v>234</v>
      </c>
      <c r="J32" t="s">
        <v>125</v>
      </c>
      <c r="K32" t="s">
        <v>23</v>
      </c>
      <c r="L32" t="s">
        <v>162</v>
      </c>
      <c r="M32" t="s">
        <v>126</v>
      </c>
      <c r="N32" t="s">
        <v>163</v>
      </c>
      <c r="O32" t="b">
        <v>0</v>
      </c>
      <c r="P32" t="s">
        <v>164</v>
      </c>
      <c r="Q32" t="s">
        <v>84</v>
      </c>
      <c r="R32" t="s">
        <v>84</v>
      </c>
      <c r="S32">
        <v>0</v>
      </c>
      <c r="T32" t="s">
        <v>20</v>
      </c>
      <c r="U32" t="s">
        <v>20</v>
      </c>
      <c r="W32" t="s">
        <v>329</v>
      </c>
      <c r="X32">
        <v>2</v>
      </c>
      <c r="Y32" t="s">
        <v>32</v>
      </c>
    </row>
    <row r="33" spans="1:25" x14ac:dyDescent="0.35">
      <c r="A33" t="s">
        <v>135</v>
      </c>
      <c r="B33" t="s">
        <v>136</v>
      </c>
      <c r="C33">
        <v>10</v>
      </c>
      <c r="D33">
        <v>1</v>
      </c>
      <c r="E33" t="s">
        <v>369</v>
      </c>
      <c r="F33" t="s">
        <v>226</v>
      </c>
      <c r="G33" t="s">
        <v>227</v>
      </c>
      <c r="H33" t="s">
        <v>235</v>
      </c>
      <c r="I33" t="s">
        <v>236</v>
      </c>
      <c r="J33" t="s">
        <v>167</v>
      </c>
      <c r="K33" t="s">
        <v>27</v>
      </c>
      <c r="L33" t="s">
        <v>168</v>
      </c>
      <c r="M33" t="s">
        <v>20</v>
      </c>
      <c r="N33" t="s">
        <v>163</v>
      </c>
      <c r="O33" t="b">
        <v>0</v>
      </c>
      <c r="P33" t="s">
        <v>169</v>
      </c>
      <c r="Q33" t="s">
        <v>84</v>
      </c>
      <c r="R33" t="s">
        <v>84</v>
      </c>
      <c r="S33">
        <v>0</v>
      </c>
      <c r="T33" t="s">
        <v>20</v>
      </c>
      <c r="U33" t="s">
        <v>20</v>
      </c>
      <c r="W33" t="s">
        <v>370</v>
      </c>
      <c r="X33">
        <v>1</v>
      </c>
      <c r="Y33" t="s">
        <v>86</v>
      </c>
    </row>
    <row r="34" spans="1:25" x14ac:dyDescent="0.35">
      <c r="A34" t="s">
        <v>135</v>
      </c>
      <c r="B34" t="s">
        <v>136</v>
      </c>
      <c r="C34">
        <v>10</v>
      </c>
      <c r="D34">
        <v>1</v>
      </c>
      <c r="E34" t="s">
        <v>371</v>
      </c>
      <c r="F34" t="s">
        <v>226</v>
      </c>
      <c r="G34" t="s">
        <v>227</v>
      </c>
      <c r="H34" t="s">
        <v>170</v>
      </c>
      <c r="I34" t="s">
        <v>237</v>
      </c>
      <c r="J34" t="s">
        <v>119</v>
      </c>
      <c r="K34" t="s">
        <v>23</v>
      </c>
      <c r="L34" t="s">
        <v>162</v>
      </c>
      <c r="M34" t="s">
        <v>126</v>
      </c>
      <c r="N34" t="s">
        <v>163</v>
      </c>
      <c r="O34" t="b">
        <v>0</v>
      </c>
      <c r="P34" t="s">
        <v>20</v>
      </c>
      <c r="Q34" t="s">
        <v>84</v>
      </c>
      <c r="R34" t="s">
        <v>84</v>
      </c>
      <c r="S34">
        <v>0</v>
      </c>
      <c r="T34" t="s">
        <v>20</v>
      </c>
      <c r="U34" t="s">
        <v>20</v>
      </c>
      <c r="W34" t="s">
        <v>333</v>
      </c>
      <c r="X34">
        <v>2</v>
      </c>
      <c r="Y34" t="s">
        <v>32</v>
      </c>
    </row>
    <row r="35" spans="1:25" x14ac:dyDescent="0.35">
      <c r="A35" t="s">
        <v>135</v>
      </c>
      <c r="B35" t="s">
        <v>136</v>
      </c>
      <c r="C35">
        <v>10</v>
      </c>
      <c r="D35">
        <v>1</v>
      </c>
      <c r="E35" t="s">
        <v>372</v>
      </c>
      <c r="F35" t="s">
        <v>226</v>
      </c>
      <c r="G35" t="s">
        <v>227</v>
      </c>
      <c r="H35" t="s">
        <v>173</v>
      </c>
      <c r="I35" t="s">
        <v>238</v>
      </c>
      <c r="J35" t="s">
        <v>167</v>
      </c>
      <c r="K35" t="s">
        <v>27</v>
      </c>
      <c r="L35" t="s">
        <v>175</v>
      </c>
      <c r="M35" t="s">
        <v>20</v>
      </c>
      <c r="N35" t="s">
        <v>144</v>
      </c>
      <c r="O35" t="b">
        <v>0</v>
      </c>
      <c r="P35" t="s">
        <v>20</v>
      </c>
      <c r="Q35" t="s">
        <v>84</v>
      </c>
      <c r="R35" t="s">
        <v>84</v>
      </c>
      <c r="S35">
        <v>0</v>
      </c>
      <c r="T35" t="s">
        <v>20</v>
      </c>
      <c r="U35" t="s">
        <v>20</v>
      </c>
      <c r="W35" t="s">
        <v>335</v>
      </c>
      <c r="X35">
        <v>2</v>
      </c>
      <c r="Y35" t="s">
        <v>32</v>
      </c>
    </row>
    <row r="36" spans="1:25" x14ac:dyDescent="0.35">
      <c r="A36" t="s">
        <v>135</v>
      </c>
      <c r="B36" t="s">
        <v>136</v>
      </c>
      <c r="C36">
        <v>10</v>
      </c>
      <c r="D36">
        <v>1</v>
      </c>
      <c r="E36" t="s">
        <v>373</v>
      </c>
      <c r="F36" t="s">
        <v>226</v>
      </c>
      <c r="G36" t="s">
        <v>227</v>
      </c>
      <c r="H36" t="s">
        <v>178</v>
      </c>
      <c r="I36" t="s">
        <v>239</v>
      </c>
      <c r="J36" t="s">
        <v>125</v>
      </c>
      <c r="K36" t="s">
        <v>23</v>
      </c>
      <c r="L36" t="s">
        <v>180</v>
      </c>
      <c r="M36" t="s">
        <v>126</v>
      </c>
      <c r="N36" t="s">
        <v>144</v>
      </c>
      <c r="O36" t="b">
        <v>0</v>
      </c>
      <c r="P36" t="s">
        <v>20</v>
      </c>
      <c r="Q36" t="s">
        <v>84</v>
      </c>
      <c r="R36" t="s">
        <v>84</v>
      </c>
      <c r="S36">
        <v>0</v>
      </c>
      <c r="T36" t="s">
        <v>20</v>
      </c>
      <c r="U36" t="s">
        <v>20</v>
      </c>
      <c r="W36" t="s">
        <v>337</v>
      </c>
      <c r="X36">
        <v>2</v>
      </c>
      <c r="Y36" t="s">
        <v>32</v>
      </c>
    </row>
    <row r="37" spans="1:25" x14ac:dyDescent="0.35">
      <c r="A37" t="s">
        <v>135</v>
      </c>
      <c r="B37" t="s">
        <v>136</v>
      </c>
      <c r="C37">
        <v>10</v>
      </c>
      <c r="D37">
        <v>1</v>
      </c>
      <c r="E37" t="s">
        <v>374</v>
      </c>
      <c r="F37" t="s">
        <v>226</v>
      </c>
      <c r="G37" t="s">
        <v>227</v>
      </c>
      <c r="H37" t="s">
        <v>182</v>
      </c>
      <c r="I37" t="s">
        <v>240</v>
      </c>
      <c r="J37" t="s">
        <v>167</v>
      </c>
      <c r="K37" t="s">
        <v>27</v>
      </c>
      <c r="L37" t="s">
        <v>175</v>
      </c>
      <c r="M37" t="s">
        <v>20</v>
      </c>
      <c r="N37" t="s">
        <v>144</v>
      </c>
      <c r="O37" t="b">
        <v>0</v>
      </c>
      <c r="P37" t="s">
        <v>20</v>
      </c>
      <c r="Q37" t="s">
        <v>84</v>
      </c>
      <c r="R37" t="s">
        <v>84</v>
      </c>
      <c r="S37">
        <v>0</v>
      </c>
      <c r="T37" t="s">
        <v>20</v>
      </c>
      <c r="U37" t="s">
        <v>20</v>
      </c>
      <c r="W37" t="s">
        <v>339</v>
      </c>
      <c r="X37">
        <v>2</v>
      </c>
      <c r="Y37" t="s">
        <v>32</v>
      </c>
    </row>
    <row r="38" spans="1:25" x14ac:dyDescent="0.35">
      <c r="A38" t="s">
        <v>135</v>
      </c>
      <c r="B38" t="s">
        <v>136</v>
      </c>
      <c r="C38">
        <v>10</v>
      </c>
      <c r="D38">
        <v>1</v>
      </c>
      <c r="E38" t="s">
        <v>375</v>
      </c>
      <c r="F38" t="s">
        <v>226</v>
      </c>
      <c r="G38" t="s">
        <v>227</v>
      </c>
      <c r="H38" t="s">
        <v>191</v>
      </c>
      <c r="I38" t="s">
        <v>241</v>
      </c>
      <c r="J38" t="s">
        <v>125</v>
      </c>
      <c r="K38" t="s">
        <v>23</v>
      </c>
      <c r="L38" t="s">
        <v>180</v>
      </c>
      <c r="M38" t="s">
        <v>126</v>
      </c>
      <c r="N38" t="s">
        <v>144</v>
      </c>
      <c r="O38" t="b">
        <v>0</v>
      </c>
      <c r="P38" t="s">
        <v>20</v>
      </c>
      <c r="Q38" t="s">
        <v>84</v>
      </c>
      <c r="R38" t="s">
        <v>84</v>
      </c>
      <c r="S38">
        <v>0</v>
      </c>
      <c r="T38" t="s">
        <v>20</v>
      </c>
      <c r="U38" t="s">
        <v>20</v>
      </c>
      <c r="W38" t="s">
        <v>343</v>
      </c>
      <c r="X38">
        <v>2</v>
      </c>
      <c r="Y38" t="s">
        <v>32</v>
      </c>
    </row>
    <row r="39" spans="1:25" x14ac:dyDescent="0.35">
      <c r="A39" t="s">
        <v>135</v>
      </c>
      <c r="B39" t="s">
        <v>136</v>
      </c>
      <c r="C39">
        <v>10</v>
      </c>
      <c r="D39">
        <v>1</v>
      </c>
      <c r="E39" t="s">
        <v>376</v>
      </c>
      <c r="F39" t="s">
        <v>226</v>
      </c>
      <c r="G39" t="s">
        <v>227</v>
      </c>
      <c r="H39" t="s">
        <v>194</v>
      </c>
      <c r="I39" t="s">
        <v>243</v>
      </c>
      <c r="J39" t="s">
        <v>119</v>
      </c>
      <c r="K39" t="s">
        <v>23</v>
      </c>
      <c r="L39" t="s">
        <v>180</v>
      </c>
      <c r="M39" t="s">
        <v>126</v>
      </c>
      <c r="N39" t="s">
        <v>144</v>
      </c>
      <c r="O39" s="8" t="b">
        <v>0</v>
      </c>
      <c r="P39" t="s">
        <v>20</v>
      </c>
      <c r="Q39" t="s">
        <v>84</v>
      </c>
      <c r="R39" t="s">
        <v>84</v>
      </c>
      <c r="S39">
        <v>0</v>
      </c>
      <c r="T39" t="s">
        <v>20</v>
      </c>
      <c r="U39" t="s">
        <v>20</v>
      </c>
      <c r="W39" t="s">
        <v>345</v>
      </c>
      <c r="X39">
        <v>2</v>
      </c>
      <c r="Y39" t="s">
        <v>32</v>
      </c>
    </row>
    <row r="40" spans="1:25" x14ac:dyDescent="0.35">
      <c r="A40" t="s">
        <v>135</v>
      </c>
      <c r="B40" t="s">
        <v>136</v>
      </c>
      <c r="C40">
        <v>10</v>
      </c>
      <c r="D40">
        <v>1</v>
      </c>
      <c r="E40" t="s">
        <v>377</v>
      </c>
      <c r="F40" t="s">
        <v>226</v>
      </c>
      <c r="G40" t="s">
        <v>227</v>
      </c>
      <c r="H40" t="s">
        <v>197</v>
      </c>
      <c r="I40" t="s">
        <v>245</v>
      </c>
      <c r="J40" t="s">
        <v>119</v>
      </c>
      <c r="K40" t="s">
        <v>23</v>
      </c>
      <c r="L40" t="s">
        <v>180</v>
      </c>
      <c r="M40" t="s">
        <v>126</v>
      </c>
      <c r="N40" t="s">
        <v>144</v>
      </c>
      <c r="O40" t="b">
        <v>0</v>
      </c>
      <c r="P40" t="s">
        <v>20</v>
      </c>
      <c r="Q40" t="s">
        <v>84</v>
      </c>
      <c r="R40" t="s">
        <v>84</v>
      </c>
      <c r="S40">
        <v>0</v>
      </c>
      <c r="T40" t="s">
        <v>20</v>
      </c>
      <c r="U40" t="s">
        <v>20</v>
      </c>
      <c r="W40" t="s">
        <v>347</v>
      </c>
      <c r="X40">
        <v>2</v>
      </c>
      <c r="Y40" t="s">
        <v>32</v>
      </c>
    </row>
    <row r="41" spans="1:25" x14ac:dyDescent="0.35">
      <c r="A41" t="s">
        <v>135</v>
      </c>
      <c r="B41" t="s">
        <v>136</v>
      </c>
      <c r="C41">
        <v>10</v>
      </c>
      <c r="D41">
        <v>1</v>
      </c>
      <c r="E41" t="s">
        <v>90</v>
      </c>
      <c r="F41" t="s">
        <v>226</v>
      </c>
      <c r="G41" t="s">
        <v>246</v>
      </c>
      <c r="H41" t="s">
        <v>200</v>
      </c>
      <c r="I41" t="s">
        <v>247</v>
      </c>
      <c r="J41" t="s">
        <v>167</v>
      </c>
      <c r="K41" t="s">
        <v>27</v>
      </c>
      <c r="L41" t="s">
        <v>175</v>
      </c>
      <c r="M41" t="s">
        <v>20</v>
      </c>
      <c r="N41" t="s">
        <v>144</v>
      </c>
      <c r="O41" t="b">
        <v>0</v>
      </c>
      <c r="P41" t="s">
        <v>20</v>
      </c>
      <c r="Q41" t="s">
        <v>84</v>
      </c>
      <c r="R41" t="s">
        <v>84</v>
      </c>
      <c r="S41">
        <v>0</v>
      </c>
      <c r="T41" t="s">
        <v>20</v>
      </c>
      <c r="U41" t="s">
        <v>20</v>
      </c>
      <c r="W41" t="s">
        <v>348</v>
      </c>
      <c r="X41">
        <v>2</v>
      </c>
      <c r="Y41" t="s">
        <v>32</v>
      </c>
    </row>
    <row r="42" spans="1:25" x14ac:dyDescent="0.35">
      <c r="A42" t="s">
        <v>135</v>
      </c>
      <c r="B42" t="s">
        <v>136</v>
      </c>
      <c r="C42">
        <v>10</v>
      </c>
      <c r="D42">
        <v>1</v>
      </c>
      <c r="E42" t="s">
        <v>129</v>
      </c>
      <c r="F42" t="s">
        <v>226</v>
      </c>
      <c r="G42" t="s">
        <v>246</v>
      </c>
      <c r="H42" t="s">
        <v>205</v>
      </c>
      <c r="I42" t="s">
        <v>248</v>
      </c>
      <c r="J42" t="s">
        <v>152</v>
      </c>
      <c r="K42" t="s">
        <v>39</v>
      </c>
      <c r="L42" t="s">
        <v>153</v>
      </c>
      <c r="M42" t="s">
        <v>126</v>
      </c>
      <c r="N42" t="s">
        <v>144</v>
      </c>
      <c r="O42" t="b">
        <v>0</v>
      </c>
      <c r="P42" t="s">
        <v>20</v>
      </c>
      <c r="Q42" t="s">
        <v>84</v>
      </c>
      <c r="R42" t="s">
        <v>84</v>
      </c>
      <c r="S42">
        <v>0</v>
      </c>
      <c r="T42" t="s">
        <v>20</v>
      </c>
      <c r="U42" t="s">
        <v>20</v>
      </c>
      <c r="W42" t="s">
        <v>351</v>
      </c>
      <c r="X42">
        <v>2</v>
      </c>
      <c r="Y42" t="s">
        <v>32</v>
      </c>
    </row>
    <row r="43" spans="1:25" x14ac:dyDescent="0.35">
      <c r="A43" t="s">
        <v>135</v>
      </c>
      <c r="B43" t="s">
        <v>136</v>
      </c>
      <c r="C43">
        <v>10</v>
      </c>
      <c r="D43">
        <v>1</v>
      </c>
      <c r="E43" t="s">
        <v>378</v>
      </c>
      <c r="F43" t="s">
        <v>226</v>
      </c>
      <c r="G43" t="s">
        <v>246</v>
      </c>
      <c r="H43" t="s">
        <v>207</v>
      </c>
      <c r="I43" t="s">
        <v>247</v>
      </c>
      <c r="J43" t="s">
        <v>167</v>
      </c>
      <c r="K43" t="s">
        <v>27</v>
      </c>
      <c r="L43" t="s">
        <v>175</v>
      </c>
      <c r="M43" t="s">
        <v>20</v>
      </c>
      <c r="N43" t="s">
        <v>144</v>
      </c>
      <c r="O43" t="b">
        <v>0</v>
      </c>
      <c r="P43" t="s">
        <v>20</v>
      </c>
      <c r="Q43" t="s">
        <v>84</v>
      </c>
      <c r="R43" t="s">
        <v>84</v>
      </c>
      <c r="S43">
        <v>0</v>
      </c>
      <c r="T43" t="s">
        <v>20</v>
      </c>
      <c r="U43" t="s">
        <v>20</v>
      </c>
      <c r="W43" t="s">
        <v>353</v>
      </c>
      <c r="X43">
        <v>2</v>
      </c>
      <c r="Y43" t="s">
        <v>32</v>
      </c>
    </row>
    <row r="44" spans="1:25" x14ac:dyDescent="0.35">
      <c r="A44" t="s">
        <v>135</v>
      </c>
      <c r="B44" t="s">
        <v>136</v>
      </c>
      <c r="C44">
        <v>10</v>
      </c>
      <c r="D44">
        <v>1</v>
      </c>
      <c r="E44" t="s">
        <v>379</v>
      </c>
      <c r="F44" t="s">
        <v>226</v>
      </c>
      <c r="G44" t="s">
        <v>246</v>
      </c>
      <c r="H44" t="s">
        <v>209</v>
      </c>
      <c r="I44" t="s">
        <v>249</v>
      </c>
      <c r="J44" t="s">
        <v>167</v>
      </c>
      <c r="K44" t="s">
        <v>27</v>
      </c>
      <c r="L44" t="s">
        <v>175</v>
      </c>
      <c r="M44" t="s">
        <v>20</v>
      </c>
      <c r="N44" t="s">
        <v>144</v>
      </c>
      <c r="O44" t="b">
        <v>0</v>
      </c>
      <c r="P44" t="s">
        <v>20</v>
      </c>
      <c r="Q44" t="s">
        <v>84</v>
      </c>
      <c r="R44" t="s">
        <v>84</v>
      </c>
      <c r="S44">
        <v>0</v>
      </c>
      <c r="T44" t="s">
        <v>20</v>
      </c>
      <c r="U44" t="s">
        <v>20</v>
      </c>
      <c r="W44" t="s">
        <v>355</v>
      </c>
      <c r="X44">
        <v>2</v>
      </c>
      <c r="Y44" t="s">
        <v>32</v>
      </c>
    </row>
    <row r="45" spans="1:25" x14ac:dyDescent="0.35">
      <c r="A45" t="s">
        <v>135</v>
      </c>
      <c r="B45" t="s">
        <v>136</v>
      </c>
      <c r="C45">
        <v>10</v>
      </c>
      <c r="D45">
        <v>1</v>
      </c>
      <c r="E45" t="s">
        <v>380</v>
      </c>
      <c r="F45" t="s">
        <v>226</v>
      </c>
      <c r="G45" t="s">
        <v>246</v>
      </c>
      <c r="H45" t="s">
        <v>211</v>
      </c>
      <c r="I45" t="s">
        <v>249</v>
      </c>
      <c r="J45" t="s">
        <v>167</v>
      </c>
      <c r="K45" t="s">
        <v>27</v>
      </c>
      <c r="L45" t="s">
        <v>175</v>
      </c>
      <c r="M45" t="s">
        <v>20</v>
      </c>
      <c r="N45" t="s">
        <v>144</v>
      </c>
      <c r="O45" t="b">
        <v>0</v>
      </c>
      <c r="P45" t="s">
        <v>20</v>
      </c>
      <c r="Q45" t="s">
        <v>84</v>
      </c>
      <c r="R45" t="s">
        <v>84</v>
      </c>
      <c r="S45">
        <v>0</v>
      </c>
      <c r="T45" t="s">
        <v>20</v>
      </c>
      <c r="U45" t="s">
        <v>20</v>
      </c>
      <c r="W45" t="s">
        <v>357</v>
      </c>
      <c r="X45">
        <v>2</v>
      </c>
      <c r="Y45" t="s">
        <v>32</v>
      </c>
    </row>
    <row r="46" spans="1:25" x14ac:dyDescent="0.35">
      <c r="A46" t="s">
        <v>135</v>
      </c>
      <c r="B46" t="s">
        <v>136</v>
      </c>
      <c r="C46">
        <v>10</v>
      </c>
      <c r="D46">
        <v>1</v>
      </c>
      <c r="E46" t="s">
        <v>381</v>
      </c>
      <c r="F46" t="s">
        <v>226</v>
      </c>
      <c r="G46" t="s">
        <v>246</v>
      </c>
      <c r="H46" t="s">
        <v>212</v>
      </c>
      <c r="I46" t="s">
        <v>249</v>
      </c>
      <c r="J46" t="s">
        <v>167</v>
      </c>
      <c r="K46" t="s">
        <v>27</v>
      </c>
      <c r="L46" t="s">
        <v>175</v>
      </c>
      <c r="M46" t="s">
        <v>20</v>
      </c>
      <c r="N46" t="s">
        <v>144</v>
      </c>
      <c r="O46" t="b">
        <v>0</v>
      </c>
      <c r="P46" t="s">
        <v>20</v>
      </c>
      <c r="Q46" t="s">
        <v>84</v>
      </c>
      <c r="R46" t="s">
        <v>84</v>
      </c>
      <c r="S46">
        <v>0</v>
      </c>
      <c r="T46" t="s">
        <v>20</v>
      </c>
      <c r="U46" t="s">
        <v>20</v>
      </c>
      <c r="W46" t="s">
        <v>359</v>
      </c>
      <c r="X46">
        <v>2</v>
      </c>
      <c r="Y46" t="s">
        <v>32</v>
      </c>
    </row>
    <row r="47" spans="1:25" x14ac:dyDescent="0.35">
      <c r="A47" t="s">
        <v>135</v>
      </c>
      <c r="B47" t="s">
        <v>136</v>
      </c>
      <c r="C47">
        <v>10</v>
      </c>
      <c r="D47">
        <v>1</v>
      </c>
      <c r="E47" t="s">
        <v>91</v>
      </c>
      <c r="F47" t="s">
        <v>250</v>
      </c>
      <c r="G47" t="s">
        <v>251</v>
      </c>
      <c r="H47" t="s">
        <v>252</v>
      </c>
      <c r="I47" t="s">
        <v>253</v>
      </c>
      <c r="J47" t="s">
        <v>125</v>
      </c>
      <c r="K47" t="s">
        <v>23</v>
      </c>
      <c r="L47" t="s">
        <v>254</v>
      </c>
      <c r="M47" t="s">
        <v>126</v>
      </c>
      <c r="N47" t="s">
        <v>163</v>
      </c>
      <c r="O47" t="b">
        <v>0</v>
      </c>
      <c r="P47" t="s">
        <v>255</v>
      </c>
      <c r="Q47" t="s">
        <v>84</v>
      </c>
      <c r="R47" t="s">
        <v>84</v>
      </c>
      <c r="S47">
        <v>0</v>
      </c>
      <c r="T47" t="s">
        <v>20</v>
      </c>
      <c r="U47" t="s">
        <v>20</v>
      </c>
      <c r="W47" t="s">
        <v>382</v>
      </c>
      <c r="X47">
        <v>1</v>
      </c>
      <c r="Y47" t="s">
        <v>86</v>
      </c>
    </row>
    <row r="48" spans="1:25" x14ac:dyDescent="0.35">
      <c r="A48" t="s">
        <v>135</v>
      </c>
      <c r="B48" t="s">
        <v>136</v>
      </c>
      <c r="C48">
        <v>10</v>
      </c>
      <c r="D48">
        <v>1</v>
      </c>
      <c r="E48" t="s">
        <v>92</v>
      </c>
      <c r="F48" t="s">
        <v>250</v>
      </c>
      <c r="G48" t="s">
        <v>251</v>
      </c>
      <c r="H48" t="s">
        <v>256</v>
      </c>
      <c r="I48" t="s">
        <v>257</v>
      </c>
      <c r="J48" t="s">
        <v>167</v>
      </c>
      <c r="K48" t="s">
        <v>27</v>
      </c>
      <c r="L48" t="s">
        <v>20</v>
      </c>
      <c r="M48" t="s">
        <v>20</v>
      </c>
      <c r="N48" t="s">
        <v>20</v>
      </c>
      <c r="O48" t="b">
        <v>0</v>
      </c>
      <c r="P48" t="s">
        <v>255</v>
      </c>
      <c r="Q48" t="s">
        <v>84</v>
      </c>
      <c r="R48" t="s">
        <v>84</v>
      </c>
      <c r="S48">
        <v>0</v>
      </c>
      <c r="T48" t="s">
        <v>20</v>
      </c>
      <c r="U48" t="s">
        <v>20</v>
      </c>
      <c r="W48" t="s">
        <v>383</v>
      </c>
      <c r="X48">
        <v>1</v>
      </c>
      <c r="Y48" t="s">
        <v>86</v>
      </c>
    </row>
    <row r="49" spans="1:25" x14ac:dyDescent="0.35">
      <c r="A49" t="s">
        <v>135</v>
      </c>
      <c r="B49" t="s">
        <v>136</v>
      </c>
      <c r="C49">
        <v>10</v>
      </c>
      <c r="D49">
        <v>1</v>
      </c>
      <c r="E49" t="s">
        <v>102</v>
      </c>
      <c r="F49" t="s">
        <v>250</v>
      </c>
      <c r="G49" t="s">
        <v>251</v>
      </c>
      <c r="H49" t="s">
        <v>258</v>
      </c>
      <c r="I49" t="s">
        <v>259</v>
      </c>
      <c r="J49" t="s">
        <v>125</v>
      </c>
      <c r="K49" t="s">
        <v>23</v>
      </c>
      <c r="L49" t="s">
        <v>162</v>
      </c>
      <c r="M49" t="s">
        <v>126</v>
      </c>
      <c r="N49" t="s">
        <v>163</v>
      </c>
      <c r="O49" t="b">
        <v>0</v>
      </c>
      <c r="P49" t="s">
        <v>255</v>
      </c>
      <c r="Q49" t="s">
        <v>84</v>
      </c>
      <c r="R49" t="s">
        <v>84</v>
      </c>
      <c r="S49">
        <v>0</v>
      </c>
      <c r="T49" t="s">
        <v>20</v>
      </c>
      <c r="U49" t="s">
        <v>20</v>
      </c>
      <c r="W49" t="s">
        <v>384</v>
      </c>
      <c r="X49">
        <v>1</v>
      </c>
      <c r="Y49" t="s">
        <v>86</v>
      </c>
    </row>
    <row r="50" spans="1:25" x14ac:dyDescent="0.35">
      <c r="A50" t="s">
        <v>135</v>
      </c>
      <c r="B50" t="s">
        <v>136</v>
      </c>
      <c r="C50">
        <v>10</v>
      </c>
      <c r="D50">
        <v>1</v>
      </c>
      <c r="E50" t="s">
        <v>103</v>
      </c>
      <c r="F50" t="s">
        <v>250</v>
      </c>
      <c r="G50" t="s">
        <v>251</v>
      </c>
      <c r="H50" t="s">
        <v>260</v>
      </c>
      <c r="I50" t="s">
        <v>261</v>
      </c>
      <c r="J50" t="s">
        <v>125</v>
      </c>
      <c r="K50" t="s">
        <v>23</v>
      </c>
      <c r="L50" t="s">
        <v>162</v>
      </c>
      <c r="M50" t="s">
        <v>126</v>
      </c>
      <c r="N50" t="s">
        <v>163</v>
      </c>
      <c r="O50" t="b">
        <v>0</v>
      </c>
      <c r="P50" t="s">
        <v>255</v>
      </c>
      <c r="Q50" t="s">
        <v>84</v>
      </c>
      <c r="R50" t="s">
        <v>84</v>
      </c>
      <c r="S50">
        <v>0</v>
      </c>
      <c r="T50" t="s">
        <v>20</v>
      </c>
      <c r="U50" t="s">
        <v>20</v>
      </c>
      <c r="W50" t="s">
        <v>385</v>
      </c>
      <c r="X50">
        <v>1</v>
      </c>
      <c r="Y50" t="s">
        <v>86</v>
      </c>
    </row>
    <row r="51" spans="1:25" x14ac:dyDescent="0.35">
      <c r="A51" t="s">
        <v>135</v>
      </c>
      <c r="B51" t="s">
        <v>136</v>
      </c>
      <c r="C51">
        <v>10</v>
      </c>
      <c r="D51">
        <v>1</v>
      </c>
      <c r="E51" t="s">
        <v>130</v>
      </c>
      <c r="F51" t="s">
        <v>250</v>
      </c>
      <c r="G51" t="s">
        <v>251</v>
      </c>
      <c r="H51" t="s">
        <v>262</v>
      </c>
      <c r="I51" t="s">
        <v>263</v>
      </c>
      <c r="J51" t="s">
        <v>167</v>
      </c>
      <c r="K51" t="s">
        <v>27</v>
      </c>
      <c r="L51" t="s">
        <v>175</v>
      </c>
      <c r="M51" t="s">
        <v>20</v>
      </c>
      <c r="N51" t="s">
        <v>144</v>
      </c>
      <c r="O51" t="b">
        <v>0</v>
      </c>
      <c r="P51" t="s">
        <v>255</v>
      </c>
      <c r="Q51" t="s">
        <v>84</v>
      </c>
      <c r="R51" t="s">
        <v>84</v>
      </c>
      <c r="S51">
        <v>0</v>
      </c>
      <c r="T51" t="s">
        <v>20</v>
      </c>
      <c r="U51" t="s">
        <v>20</v>
      </c>
      <c r="W51" t="s">
        <v>386</v>
      </c>
      <c r="X51">
        <v>1</v>
      </c>
      <c r="Y51" t="s">
        <v>86</v>
      </c>
    </row>
    <row r="52" spans="1:25" x14ac:dyDescent="0.35">
      <c r="A52" t="s">
        <v>135</v>
      </c>
      <c r="B52" t="s">
        <v>136</v>
      </c>
      <c r="C52">
        <v>10</v>
      </c>
      <c r="D52">
        <v>1</v>
      </c>
      <c r="E52" t="s">
        <v>131</v>
      </c>
      <c r="F52" t="s">
        <v>250</v>
      </c>
      <c r="G52" t="s">
        <v>251</v>
      </c>
      <c r="H52" t="s">
        <v>264</v>
      </c>
      <c r="I52" t="s">
        <v>265</v>
      </c>
      <c r="J52" t="s">
        <v>167</v>
      </c>
      <c r="K52" t="s">
        <v>27</v>
      </c>
      <c r="L52" t="s">
        <v>175</v>
      </c>
      <c r="M52" t="s">
        <v>20</v>
      </c>
      <c r="N52" t="s">
        <v>144</v>
      </c>
      <c r="O52" t="b">
        <v>0</v>
      </c>
      <c r="P52" t="s">
        <v>255</v>
      </c>
      <c r="Q52" t="s">
        <v>84</v>
      </c>
      <c r="R52" t="s">
        <v>84</v>
      </c>
      <c r="S52">
        <v>0</v>
      </c>
      <c r="T52" t="s">
        <v>20</v>
      </c>
      <c r="U52" t="s">
        <v>20</v>
      </c>
      <c r="W52" t="s">
        <v>387</v>
      </c>
      <c r="X52">
        <v>1</v>
      </c>
      <c r="Y52" t="s">
        <v>86</v>
      </c>
    </row>
    <row r="53" spans="1:25" x14ac:dyDescent="0.35">
      <c r="A53" t="s">
        <v>135</v>
      </c>
      <c r="B53" t="s">
        <v>136</v>
      </c>
      <c r="C53">
        <v>10</v>
      </c>
      <c r="D53">
        <v>1</v>
      </c>
      <c r="E53" t="s">
        <v>132</v>
      </c>
      <c r="F53" t="s">
        <v>250</v>
      </c>
      <c r="G53" t="s">
        <v>251</v>
      </c>
      <c r="H53" t="s">
        <v>266</v>
      </c>
      <c r="I53" t="s">
        <v>267</v>
      </c>
      <c r="J53" t="s">
        <v>152</v>
      </c>
      <c r="K53" t="s">
        <v>39</v>
      </c>
      <c r="L53" t="s">
        <v>268</v>
      </c>
      <c r="M53" t="s">
        <v>269</v>
      </c>
      <c r="N53" t="s">
        <v>144</v>
      </c>
      <c r="O53" t="b">
        <v>0</v>
      </c>
      <c r="P53" t="s">
        <v>270</v>
      </c>
      <c r="Q53" t="s">
        <v>84</v>
      </c>
      <c r="R53" t="s">
        <v>84</v>
      </c>
      <c r="S53">
        <v>0</v>
      </c>
      <c r="T53" t="s">
        <v>20</v>
      </c>
      <c r="U53" t="s">
        <v>20</v>
      </c>
      <c r="W53" t="s">
        <v>388</v>
      </c>
      <c r="X53">
        <v>1</v>
      </c>
      <c r="Y53" t="s">
        <v>86</v>
      </c>
    </row>
    <row r="54" spans="1:25" x14ac:dyDescent="0.35">
      <c r="A54" t="s">
        <v>135</v>
      </c>
      <c r="B54" t="s">
        <v>136</v>
      </c>
      <c r="C54">
        <v>10</v>
      </c>
      <c r="D54">
        <v>1</v>
      </c>
      <c r="E54" t="s">
        <v>389</v>
      </c>
      <c r="F54" t="s">
        <v>250</v>
      </c>
      <c r="G54" t="s">
        <v>251</v>
      </c>
      <c r="H54" t="s">
        <v>271</v>
      </c>
      <c r="I54" t="s">
        <v>272</v>
      </c>
      <c r="J54" t="s">
        <v>167</v>
      </c>
      <c r="K54" t="s">
        <v>27</v>
      </c>
      <c r="L54" t="s">
        <v>175</v>
      </c>
      <c r="M54" t="s">
        <v>20</v>
      </c>
      <c r="N54" t="s">
        <v>144</v>
      </c>
      <c r="O54" t="b">
        <v>0</v>
      </c>
      <c r="P54" t="s">
        <v>273</v>
      </c>
      <c r="Q54" t="s">
        <v>84</v>
      </c>
      <c r="R54" t="s">
        <v>84</v>
      </c>
      <c r="S54">
        <v>0</v>
      </c>
      <c r="T54" t="s">
        <v>20</v>
      </c>
      <c r="U54" t="s">
        <v>20</v>
      </c>
      <c r="W54" t="s">
        <v>390</v>
      </c>
      <c r="X54">
        <v>1</v>
      </c>
      <c r="Y54" t="s">
        <v>86</v>
      </c>
    </row>
    <row r="55" spans="1:25" x14ac:dyDescent="0.35">
      <c r="A55" t="s">
        <v>135</v>
      </c>
      <c r="B55" t="s">
        <v>136</v>
      </c>
      <c r="C55">
        <v>10</v>
      </c>
      <c r="D55">
        <v>1</v>
      </c>
      <c r="E55" t="s">
        <v>391</v>
      </c>
      <c r="F55" t="s">
        <v>250</v>
      </c>
      <c r="G55" t="s">
        <v>251</v>
      </c>
      <c r="H55" t="s">
        <v>274</v>
      </c>
      <c r="I55" t="s">
        <v>275</v>
      </c>
      <c r="J55" t="s">
        <v>152</v>
      </c>
      <c r="K55" t="s">
        <v>39</v>
      </c>
      <c r="L55" t="s">
        <v>276</v>
      </c>
      <c r="M55" t="s">
        <v>126</v>
      </c>
      <c r="N55" t="s">
        <v>144</v>
      </c>
      <c r="O55" t="b">
        <v>0</v>
      </c>
      <c r="P55" t="s">
        <v>277</v>
      </c>
      <c r="Q55" t="s">
        <v>84</v>
      </c>
      <c r="R55" t="s">
        <v>84</v>
      </c>
      <c r="S55">
        <v>0</v>
      </c>
      <c r="T55" t="s">
        <v>20</v>
      </c>
      <c r="U55" t="s">
        <v>20</v>
      </c>
      <c r="W55" t="s">
        <v>392</v>
      </c>
      <c r="X55">
        <v>2</v>
      </c>
      <c r="Y55" t="s">
        <v>32</v>
      </c>
    </row>
    <row r="56" spans="1:25" x14ac:dyDescent="0.35">
      <c r="A56" t="s">
        <v>135</v>
      </c>
      <c r="B56" t="s">
        <v>136</v>
      </c>
      <c r="C56">
        <v>10</v>
      </c>
      <c r="D56">
        <v>1</v>
      </c>
      <c r="E56" t="s">
        <v>393</v>
      </c>
      <c r="F56" t="s">
        <v>250</v>
      </c>
      <c r="G56" t="s">
        <v>251</v>
      </c>
      <c r="H56" t="s">
        <v>278</v>
      </c>
      <c r="I56" t="s">
        <v>279</v>
      </c>
      <c r="J56" t="s">
        <v>167</v>
      </c>
      <c r="K56" t="s">
        <v>27</v>
      </c>
      <c r="L56" t="s">
        <v>175</v>
      </c>
      <c r="M56" t="s">
        <v>20</v>
      </c>
      <c r="N56" t="s">
        <v>144</v>
      </c>
      <c r="O56" t="b">
        <v>0</v>
      </c>
      <c r="P56" t="s">
        <v>280</v>
      </c>
      <c r="Q56" t="s">
        <v>84</v>
      </c>
      <c r="R56" t="s">
        <v>84</v>
      </c>
      <c r="S56">
        <v>0</v>
      </c>
      <c r="T56" t="s">
        <v>20</v>
      </c>
      <c r="U56" t="s">
        <v>20</v>
      </c>
      <c r="W56" t="s">
        <v>394</v>
      </c>
      <c r="X56">
        <v>1</v>
      </c>
      <c r="Y56" t="s">
        <v>86</v>
      </c>
    </row>
    <row r="57" spans="1:25" x14ac:dyDescent="0.35">
      <c r="A57" t="s">
        <v>135</v>
      </c>
      <c r="B57" t="s">
        <v>136</v>
      </c>
      <c r="C57">
        <v>10</v>
      </c>
      <c r="D57">
        <v>1</v>
      </c>
      <c r="E57" t="s">
        <v>395</v>
      </c>
      <c r="F57" t="s">
        <v>250</v>
      </c>
      <c r="G57" t="s">
        <v>251</v>
      </c>
      <c r="H57" t="s">
        <v>281</v>
      </c>
      <c r="I57" t="s">
        <v>282</v>
      </c>
      <c r="J57" t="s">
        <v>125</v>
      </c>
      <c r="K57" t="s">
        <v>23</v>
      </c>
      <c r="L57" t="s">
        <v>283</v>
      </c>
      <c r="M57" t="s">
        <v>96</v>
      </c>
      <c r="N57" t="s">
        <v>158</v>
      </c>
      <c r="O57" t="b">
        <v>0</v>
      </c>
      <c r="P57" t="s">
        <v>284</v>
      </c>
      <c r="Q57" t="s">
        <v>84</v>
      </c>
      <c r="R57" t="s">
        <v>84</v>
      </c>
      <c r="S57">
        <v>0</v>
      </c>
      <c r="T57" t="s">
        <v>20</v>
      </c>
      <c r="U57" t="s">
        <v>20</v>
      </c>
      <c r="W57" t="s">
        <v>396</v>
      </c>
      <c r="X57">
        <v>2</v>
      </c>
      <c r="Y57" t="s">
        <v>32</v>
      </c>
    </row>
    <row r="58" spans="1:25" x14ac:dyDescent="0.35">
      <c r="A58" t="s">
        <v>135</v>
      </c>
      <c r="B58" t="s">
        <v>136</v>
      </c>
      <c r="C58">
        <v>10</v>
      </c>
      <c r="D58">
        <v>1</v>
      </c>
      <c r="E58" t="s">
        <v>397</v>
      </c>
      <c r="F58" t="s">
        <v>250</v>
      </c>
      <c r="G58" t="s">
        <v>285</v>
      </c>
      <c r="H58" t="s">
        <v>286</v>
      </c>
      <c r="I58" t="s">
        <v>287</v>
      </c>
      <c r="J58" t="s">
        <v>167</v>
      </c>
      <c r="K58" t="s">
        <v>27</v>
      </c>
      <c r="L58" t="s">
        <v>288</v>
      </c>
      <c r="M58" t="s">
        <v>20</v>
      </c>
      <c r="N58" t="s">
        <v>144</v>
      </c>
      <c r="O58" t="b">
        <v>0</v>
      </c>
      <c r="P58" t="s">
        <v>255</v>
      </c>
      <c r="Q58" t="s">
        <v>84</v>
      </c>
      <c r="R58" t="s">
        <v>84</v>
      </c>
      <c r="S58">
        <v>0</v>
      </c>
      <c r="T58" t="s">
        <v>20</v>
      </c>
      <c r="U58" t="s">
        <v>20</v>
      </c>
      <c r="W58" t="s">
        <v>398</v>
      </c>
      <c r="X58">
        <v>1</v>
      </c>
      <c r="Y58" t="s">
        <v>86</v>
      </c>
    </row>
    <row r="59" spans="1:25" x14ac:dyDescent="0.35">
      <c r="A59" t="s">
        <v>135</v>
      </c>
      <c r="B59" t="s">
        <v>136</v>
      </c>
      <c r="C59">
        <v>10</v>
      </c>
      <c r="D59">
        <v>1</v>
      </c>
      <c r="E59" t="s">
        <v>399</v>
      </c>
      <c r="F59" t="s">
        <v>250</v>
      </c>
      <c r="G59" t="s">
        <v>285</v>
      </c>
      <c r="H59" t="s">
        <v>289</v>
      </c>
      <c r="I59" t="s">
        <v>290</v>
      </c>
      <c r="J59" t="s">
        <v>167</v>
      </c>
      <c r="K59" t="s">
        <v>27</v>
      </c>
      <c r="L59" t="s">
        <v>175</v>
      </c>
      <c r="M59" t="s">
        <v>20</v>
      </c>
      <c r="N59" t="s">
        <v>144</v>
      </c>
      <c r="O59" t="b">
        <v>0</v>
      </c>
      <c r="P59" t="s">
        <v>280</v>
      </c>
      <c r="Q59" t="s">
        <v>84</v>
      </c>
      <c r="R59" t="s">
        <v>84</v>
      </c>
      <c r="S59">
        <v>0</v>
      </c>
      <c r="T59" t="s">
        <v>20</v>
      </c>
      <c r="U59" t="s">
        <v>20</v>
      </c>
      <c r="W59" t="s">
        <v>400</v>
      </c>
      <c r="X59">
        <v>1</v>
      </c>
      <c r="Y59" t="s">
        <v>86</v>
      </c>
    </row>
    <row r="60" spans="1:25" x14ac:dyDescent="0.35">
      <c r="A60" t="s">
        <v>135</v>
      </c>
      <c r="B60" t="s">
        <v>136</v>
      </c>
      <c r="C60">
        <v>10</v>
      </c>
      <c r="D60">
        <v>1</v>
      </c>
      <c r="E60" t="s">
        <v>401</v>
      </c>
      <c r="F60" t="s">
        <v>250</v>
      </c>
      <c r="G60" t="s">
        <v>285</v>
      </c>
      <c r="H60" t="s">
        <v>291</v>
      </c>
      <c r="I60" t="s">
        <v>292</v>
      </c>
      <c r="J60" t="s">
        <v>152</v>
      </c>
      <c r="K60" t="s">
        <v>39</v>
      </c>
      <c r="L60" t="s">
        <v>268</v>
      </c>
      <c r="M60" t="s">
        <v>269</v>
      </c>
      <c r="N60" t="s">
        <v>144</v>
      </c>
      <c r="O60" t="b">
        <v>0</v>
      </c>
      <c r="P60" t="s">
        <v>270</v>
      </c>
      <c r="Q60" t="s">
        <v>84</v>
      </c>
      <c r="R60" t="s">
        <v>84</v>
      </c>
      <c r="S60">
        <v>0</v>
      </c>
      <c r="T60" t="s">
        <v>20</v>
      </c>
      <c r="U60" t="s">
        <v>20</v>
      </c>
      <c r="W60" t="s">
        <v>402</v>
      </c>
      <c r="X60">
        <v>1</v>
      </c>
      <c r="Y60" t="s">
        <v>86</v>
      </c>
    </row>
    <row r="61" spans="1:25" x14ac:dyDescent="0.35">
      <c r="A61" t="s">
        <v>135</v>
      </c>
      <c r="B61" t="s">
        <v>136</v>
      </c>
      <c r="C61">
        <v>10</v>
      </c>
      <c r="D61">
        <v>1</v>
      </c>
      <c r="E61" t="s">
        <v>403</v>
      </c>
      <c r="F61" t="s">
        <v>250</v>
      </c>
      <c r="G61" t="s">
        <v>293</v>
      </c>
      <c r="H61" t="s">
        <v>281</v>
      </c>
      <c r="I61" t="s">
        <v>294</v>
      </c>
      <c r="J61" t="s">
        <v>125</v>
      </c>
      <c r="K61" t="s">
        <v>23</v>
      </c>
      <c r="L61" t="s">
        <v>283</v>
      </c>
      <c r="M61" t="s">
        <v>96</v>
      </c>
      <c r="N61" t="s">
        <v>158</v>
      </c>
      <c r="O61" t="b">
        <v>0</v>
      </c>
      <c r="P61" t="s">
        <v>284</v>
      </c>
      <c r="Q61" t="s">
        <v>84</v>
      </c>
      <c r="R61" t="s">
        <v>84</v>
      </c>
      <c r="S61">
        <v>0</v>
      </c>
      <c r="T61" t="s">
        <v>20</v>
      </c>
      <c r="U61" t="s">
        <v>20</v>
      </c>
      <c r="W61" t="s">
        <v>396</v>
      </c>
      <c r="X61">
        <v>2</v>
      </c>
      <c r="Y61" t="s">
        <v>32</v>
      </c>
    </row>
    <row r="62" spans="1:25" x14ac:dyDescent="0.35">
      <c r="A62" t="s">
        <v>135</v>
      </c>
      <c r="B62" t="s">
        <v>136</v>
      </c>
      <c r="C62">
        <v>10</v>
      </c>
      <c r="D62">
        <v>1</v>
      </c>
      <c r="E62" t="s">
        <v>404</v>
      </c>
      <c r="F62" t="s">
        <v>250</v>
      </c>
      <c r="G62" t="s">
        <v>293</v>
      </c>
      <c r="H62" t="s">
        <v>295</v>
      </c>
      <c r="I62" t="s">
        <v>296</v>
      </c>
      <c r="J62" t="s">
        <v>167</v>
      </c>
      <c r="K62" t="s">
        <v>27</v>
      </c>
      <c r="L62" t="s">
        <v>175</v>
      </c>
      <c r="M62" t="s">
        <v>20</v>
      </c>
      <c r="N62" t="s">
        <v>144</v>
      </c>
      <c r="O62" t="b">
        <v>0</v>
      </c>
      <c r="P62" t="s">
        <v>297</v>
      </c>
      <c r="Q62" t="s">
        <v>84</v>
      </c>
      <c r="R62" t="s">
        <v>84</v>
      </c>
      <c r="S62">
        <v>0</v>
      </c>
      <c r="T62" t="s">
        <v>20</v>
      </c>
      <c r="U62" t="s">
        <v>20</v>
      </c>
      <c r="W62" t="s">
        <v>405</v>
      </c>
      <c r="X62">
        <v>1</v>
      </c>
      <c r="Y62" t="s">
        <v>86</v>
      </c>
    </row>
    <row r="63" spans="1:25" x14ac:dyDescent="0.35">
      <c r="A63" t="s">
        <v>135</v>
      </c>
      <c r="B63" t="s">
        <v>136</v>
      </c>
      <c r="C63">
        <v>10</v>
      </c>
      <c r="D63">
        <v>1</v>
      </c>
      <c r="E63" t="s">
        <v>406</v>
      </c>
      <c r="F63" t="s">
        <v>250</v>
      </c>
      <c r="G63" t="s">
        <v>293</v>
      </c>
      <c r="H63" t="s">
        <v>274</v>
      </c>
      <c r="I63" t="s">
        <v>298</v>
      </c>
      <c r="J63" t="s">
        <v>152</v>
      </c>
      <c r="K63" t="s">
        <v>39</v>
      </c>
      <c r="L63" t="s">
        <v>276</v>
      </c>
      <c r="M63" t="s">
        <v>126</v>
      </c>
      <c r="N63" t="s">
        <v>144</v>
      </c>
      <c r="O63" t="b">
        <v>0</v>
      </c>
      <c r="P63" t="s">
        <v>277</v>
      </c>
      <c r="Q63" t="s">
        <v>84</v>
      </c>
      <c r="R63" t="s">
        <v>84</v>
      </c>
      <c r="S63">
        <v>0</v>
      </c>
      <c r="T63" t="s">
        <v>20</v>
      </c>
      <c r="U63" t="s">
        <v>20</v>
      </c>
      <c r="W63" t="s">
        <v>392</v>
      </c>
      <c r="X63">
        <v>2</v>
      </c>
      <c r="Y63" t="s">
        <v>32</v>
      </c>
    </row>
    <row r="64" spans="1:25" x14ac:dyDescent="0.35">
      <c r="A64" t="s">
        <v>135</v>
      </c>
      <c r="B64" t="s">
        <v>136</v>
      </c>
      <c r="C64">
        <v>10</v>
      </c>
      <c r="D64">
        <v>1</v>
      </c>
      <c r="E64" t="s">
        <v>407</v>
      </c>
      <c r="F64" t="s">
        <v>250</v>
      </c>
      <c r="G64" t="s">
        <v>293</v>
      </c>
      <c r="H64" t="s">
        <v>299</v>
      </c>
      <c r="I64" t="s">
        <v>300</v>
      </c>
      <c r="J64" t="s">
        <v>167</v>
      </c>
      <c r="K64" t="s">
        <v>27</v>
      </c>
      <c r="L64" t="s">
        <v>175</v>
      </c>
      <c r="M64" t="s">
        <v>20</v>
      </c>
      <c r="N64" t="s">
        <v>144</v>
      </c>
      <c r="O64" t="b">
        <v>0</v>
      </c>
      <c r="P64" t="s">
        <v>301</v>
      </c>
      <c r="Q64" t="s">
        <v>84</v>
      </c>
      <c r="R64" t="s">
        <v>84</v>
      </c>
      <c r="S64">
        <v>0</v>
      </c>
      <c r="T64" t="s">
        <v>20</v>
      </c>
      <c r="U64" t="s">
        <v>20</v>
      </c>
      <c r="W64" t="s">
        <v>408</v>
      </c>
      <c r="X64">
        <v>1</v>
      </c>
      <c r="Y64" t="s">
        <v>86</v>
      </c>
    </row>
    <row r="65" spans="1:25" x14ac:dyDescent="0.35">
      <c r="A65" t="s">
        <v>135</v>
      </c>
      <c r="B65" t="s">
        <v>136</v>
      </c>
      <c r="C65">
        <v>10</v>
      </c>
      <c r="D65">
        <v>1</v>
      </c>
      <c r="E65" t="s">
        <v>409</v>
      </c>
      <c r="F65" t="s">
        <v>250</v>
      </c>
      <c r="G65" t="s">
        <v>293</v>
      </c>
      <c r="H65" t="s">
        <v>302</v>
      </c>
      <c r="I65" t="s">
        <v>296</v>
      </c>
      <c r="J65" t="s">
        <v>167</v>
      </c>
      <c r="K65" t="s">
        <v>27</v>
      </c>
      <c r="L65" t="s">
        <v>175</v>
      </c>
      <c r="M65" t="s">
        <v>20</v>
      </c>
      <c r="N65" t="s">
        <v>144</v>
      </c>
      <c r="O65" t="b">
        <v>0</v>
      </c>
      <c r="P65" t="s">
        <v>303</v>
      </c>
      <c r="Q65" t="s">
        <v>84</v>
      </c>
      <c r="R65" t="s">
        <v>84</v>
      </c>
      <c r="S65">
        <v>0</v>
      </c>
      <c r="T65" t="s">
        <v>20</v>
      </c>
      <c r="U65" t="s">
        <v>20</v>
      </c>
      <c r="W65" t="s">
        <v>410</v>
      </c>
      <c r="X65">
        <v>1</v>
      </c>
      <c r="Y65" t="s">
        <v>86</v>
      </c>
    </row>
    <row r="66" spans="1:25" x14ac:dyDescent="0.35">
      <c r="A66" t="s">
        <v>135</v>
      </c>
      <c r="B66" t="s">
        <v>136</v>
      </c>
      <c r="C66">
        <v>10</v>
      </c>
      <c r="D66">
        <v>1</v>
      </c>
      <c r="E66" t="s">
        <v>93</v>
      </c>
      <c r="F66" t="s">
        <v>304</v>
      </c>
      <c r="G66" t="s">
        <v>305</v>
      </c>
      <c r="H66" t="s">
        <v>306</v>
      </c>
      <c r="I66" t="s">
        <v>307</v>
      </c>
      <c r="J66" t="s">
        <v>308</v>
      </c>
      <c r="K66" t="s">
        <v>27</v>
      </c>
      <c r="L66" t="s">
        <v>175</v>
      </c>
      <c r="M66" t="s">
        <v>20</v>
      </c>
      <c r="N66" t="s">
        <v>144</v>
      </c>
      <c r="O66" t="b">
        <v>0</v>
      </c>
      <c r="P66" t="s">
        <v>309</v>
      </c>
      <c r="Q66" t="s">
        <v>84</v>
      </c>
      <c r="R66" t="s">
        <v>84</v>
      </c>
      <c r="S66">
        <v>0</v>
      </c>
      <c r="T66" t="s">
        <v>20</v>
      </c>
      <c r="U66" t="s">
        <v>20</v>
      </c>
      <c r="W66" t="s">
        <v>411</v>
      </c>
      <c r="X66">
        <v>1</v>
      </c>
      <c r="Y66" t="s">
        <v>86</v>
      </c>
    </row>
    <row r="67" spans="1:25" x14ac:dyDescent="0.35">
      <c r="A67" t="s">
        <v>135</v>
      </c>
      <c r="B67" t="s">
        <v>136</v>
      </c>
      <c r="C67">
        <v>10</v>
      </c>
      <c r="D67">
        <v>1</v>
      </c>
      <c r="E67" t="s">
        <v>94</v>
      </c>
      <c r="F67" t="s">
        <v>304</v>
      </c>
      <c r="G67" t="s">
        <v>305</v>
      </c>
      <c r="H67" t="s">
        <v>310</v>
      </c>
      <c r="I67" t="s">
        <v>311</v>
      </c>
      <c r="J67" t="s">
        <v>167</v>
      </c>
      <c r="K67" t="s">
        <v>27</v>
      </c>
      <c r="L67" t="s">
        <v>175</v>
      </c>
      <c r="M67" t="s">
        <v>20</v>
      </c>
      <c r="N67" t="s">
        <v>144</v>
      </c>
      <c r="O67" t="b">
        <v>0</v>
      </c>
      <c r="P67" t="s">
        <v>309</v>
      </c>
      <c r="Q67" t="s">
        <v>84</v>
      </c>
      <c r="R67" t="s">
        <v>84</v>
      </c>
      <c r="S67">
        <v>0</v>
      </c>
      <c r="T67" t="s">
        <v>20</v>
      </c>
      <c r="U67" t="s">
        <v>20</v>
      </c>
      <c r="W67" t="s">
        <v>412</v>
      </c>
      <c r="X67">
        <v>1</v>
      </c>
      <c r="Y67" t="s">
        <v>86</v>
      </c>
    </row>
    <row r="68" spans="1:25" x14ac:dyDescent="0.35">
      <c r="A68" t="s">
        <v>135</v>
      </c>
      <c r="B68" t="s">
        <v>136</v>
      </c>
      <c r="C68">
        <v>10</v>
      </c>
      <c r="D68">
        <v>1</v>
      </c>
      <c r="E68" t="s">
        <v>104</v>
      </c>
      <c r="F68" t="s">
        <v>304</v>
      </c>
      <c r="G68" t="s">
        <v>305</v>
      </c>
      <c r="H68" t="s">
        <v>312</v>
      </c>
      <c r="I68" t="s">
        <v>313</v>
      </c>
      <c r="J68" t="s">
        <v>167</v>
      </c>
      <c r="K68" t="s">
        <v>27</v>
      </c>
      <c r="L68" t="s">
        <v>175</v>
      </c>
      <c r="M68" t="s">
        <v>20</v>
      </c>
      <c r="N68" t="s">
        <v>144</v>
      </c>
      <c r="O68" t="b">
        <v>0</v>
      </c>
      <c r="P68" t="s">
        <v>309</v>
      </c>
      <c r="Q68" t="s">
        <v>84</v>
      </c>
      <c r="R68" t="s">
        <v>84</v>
      </c>
      <c r="S68">
        <v>0</v>
      </c>
      <c r="T68" t="s">
        <v>20</v>
      </c>
      <c r="U68" t="s">
        <v>20</v>
      </c>
      <c r="W68" t="s">
        <v>413</v>
      </c>
      <c r="X68">
        <v>1</v>
      </c>
      <c r="Y68" t="s">
        <v>86</v>
      </c>
    </row>
    <row r="69" spans="1:25" x14ac:dyDescent="0.35">
      <c r="A69" t="s">
        <v>135</v>
      </c>
      <c r="B69" t="s">
        <v>136</v>
      </c>
      <c r="C69">
        <v>10</v>
      </c>
      <c r="D69">
        <v>1</v>
      </c>
      <c r="E69" t="s">
        <v>95</v>
      </c>
      <c r="F69" t="s">
        <v>314</v>
      </c>
      <c r="G69" t="s">
        <v>305</v>
      </c>
      <c r="H69" t="s">
        <v>315</v>
      </c>
      <c r="I69" t="s">
        <v>316</v>
      </c>
      <c r="J69" t="s">
        <v>167</v>
      </c>
      <c r="K69" t="s">
        <v>27</v>
      </c>
      <c r="L69" t="s">
        <v>175</v>
      </c>
      <c r="M69" t="s">
        <v>20</v>
      </c>
      <c r="N69" t="s">
        <v>144</v>
      </c>
      <c r="O69" t="b">
        <v>0</v>
      </c>
      <c r="P69" t="s">
        <v>317</v>
      </c>
      <c r="Q69" t="s">
        <v>84</v>
      </c>
      <c r="R69" t="s">
        <v>84</v>
      </c>
      <c r="S69">
        <v>0</v>
      </c>
      <c r="T69" t="s">
        <v>20</v>
      </c>
      <c r="U69" t="s">
        <v>20</v>
      </c>
      <c r="W69" t="s">
        <v>414</v>
      </c>
      <c r="X69">
        <v>1</v>
      </c>
      <c r="Y69" t="s">
        <v>86</v>
      </c>
    </row>
    <row r="70" spans="1:25" x14ac:dyDescent="0.35">
      <c r="A70" t="s">
        <v>135</v>
      </c>
      <c r="B70" t="s">
        <v>136</v>
      </c>
      <c r="C70">
        <v>10</v>
      </c>
      <c r="D70">
        <v>1</v>
      </c>
      <c r="E70" t="s">
        <v>133</v>
      </c>
      <c r="F70" t="s">
        <v>314</v>
      </c>
      <c r="G70" t="s">
        <v>305</v>
      </c>
      <c r="H70" t="s">
        <v>318</v>
      </c>
      <c r="I70" t="s">
        <v>316</v>
      </c>
      <c r="J70" t="s">
        <v>167</v>
      </c>
      <c r="K70" t="s">
        <v>27</v>
      </c>
      <c r="L70" t="s">
        <v>175</v>
      </c>
      <c r="M70" t="s">
        <v>20</v>
      </c>
      <c r="N70" t="s">
        <v>144</v>
      </c>
      <c r="O70" t="b">
        <v>0</v>
      </c>
      <c r="P70" t="s">
        <v>317</v>
      </c>
      <c r="Q70" t="s">
        <v>84</v>
      </c>
      <c r="R70" t="s">
        <v>84</v>
      </c>
      <c r="S70">
        <v>0</v>
      </c>
      <c r="T70" t="s">
        <v>20</v>
      </c>
      <c r="U70" t="s">
        <v>20</v>
      </c>
      <c r="W70" t="s">
        <v>415</v>
      </c>
      <c r="X70">
        <v>1</v>
      </c>
      <c r="Y70" t="s">
        <v>86</v>
      </c>
    </row>
    <row r="71" spans="1:25" x14ac:dyDescent="0.35">
      <c r="A71" t="s">
        <v>135</v>
      </c>
      <c r="B71" t="s">
        <v>136</v>
      </c>
      <c r="C71">
        <v>10</v>
      </c>
      <c r="D71">
        <v>1</v>
      </c>
      <c r="E71" t="s">
        <v>134</v>
      </c>
      <c r="F71" t="s">
        <v>314</v>
      </c>
      <c r="G71" t="s">
        <v>305</v>
      </c>
      <c r="H71" t="s">
        <v>319</v>
      </c>
      <c r="I71" t="s">
        <v>316</v>
      </c>
      <c r="J71" t="s">
        <v>167</v>
      </c>
      <c r="K71" t="s">
        <v>27</v>
      </c>
      <c r="L71" t="s">
        <v>175</v>
      </c>
      <c r="M71" t="s">
        <v>20</v>
      </c>
      <c r="N71" t="s">
        <v>144</v>
      </c>
      <c r="O71" t="b">
        <v>0</v>
      </c>
      <c r="P71" t="s">
        <v>317</v>
      </c>
      <c r="Q71" t="s">
        <v>84</v>
      </c>
      <c r="R71" t="s">
        <v>84</v>
      </c>
      <c r="S71">
        <v>0</v>
      </c>
      <c r="T71" t="s">
        <v>20</v>
      </c>
      <c r="U71" t="s">
        <v>20</v>
      </c>
      <c r="W71" t="s">
        <v>416</v>
      </c>
      <c r="X71">
        <v>1</v>
      </c>
      <c r="Y71" t="s">
        <v>86</v>
      </c>
    </row>
    <row r="72" spans="1:25" hidden="1" x14ac:dyDescent="0.35">
      <c r="E72" t="s">
        <v>105</v>
      </c>
      <c r="W72" t="s">
        <v>106</v>
      </c>
      <c r="X72">
        <v>190</v>
      </c>
      <c r="Y72" t="s">
        <v>32</v>
      </c>
    </row>
    <row r="73" spans="1:25" hidden="1" x14ac:dyDescent="0.35">
      <c r="E73" t="s">
        <v>105</v>
      </c>
      <c r="W73" t="s">
        <v>106</v>
      </c>
      <c r="X73">
        <v>190</v>
      </c>
      <c r="Y73" t="s">
        <v>32</v>
      </c>
    </row>
    <row r="74" spans="1:25" hidden="1" x14ac:dyDescent="0.35">
      <c r="E74" t="s">
        <v>105</v>
      </c>
      <c r="W74" t="s">
        <v>106</v>
      </c>
      <c r="X74">
        <v>190</v>
      </c>
      <c r="Y74" t="s">
        <v>32</v>
      </c>
    </row>
    <row r="75" spans="1:25" hidden="1" x14ac:dyDescent="0.35">
      <c r="E75" t="s">
        <v>105</v>
      </c>
      <c r="W75" t="s">
        <v>106</v>
      </c>
      <c r="X75">
        <v>190</v>
      </c>
      <c r="Y75" t="s">
        <v>32</v>
      </c>
    </row>
    <row r="76" spans="1:25" hidden="1" x14ac:dyDescent="0.35">
      <c r="E76" t="s">
        <v>105</v>
      </c>
      <c r="W76" t="s">
        <v>106</v>
      </c>
      <c r="X76">
        <v>190</v>
      </c>
      <c r="Y76" t="s">
        <v>32</v>
      </c>
    </row>
    <row r="77" spans="1:25" hidden="1" x14ac:dyDescent="0.35">
      <c r="E77" t="s">
        <v>105</v>
      </c>
      <c r="W77" t="s">
        <v>106</v>
      </c>
      <c r="X77">
        <v>190</v>
      </c>
      <c r="Y77" t="s">
        <v>32</v>
      </c>
    </row>
    <row r="78" spans="1:25" hidden="1" x14ac:dyDescent="0.35">
      <c r="E78" t="s">
        <v>105</v>
      </c>
      <c r="W78" t="s">
        <v>106</v>
      </c>
      <c r="X78">
        <v>190</v>
      </c>
      <c r="Y78" t="s">
        <v>32</v>
      </c>
    </row>
    <row r="79" spans="1:25" hidden="1" x14ac:dyDescent="0.35">
      <c r="E79" t="s">
        <v>105</v>
      </c>
      <c r="W79" t="s">
        <v>106</v>
      </c>
      <c r="X79">
        <v>190</v>
      </c>
      <c r="Y79" t="s">
        <v>32</v>
      </c>
    </row>
    <row r="80" spans="1:25" hidden="1" x14ac:dyDescent="0.35">
      <c r="E80" t="s">
        <v>105</v>
      </c>
      <c r="W80" t="s">
        <v>106</v>
      </c>
      <c r="X80">
        <v>190</v>
      </c>
      <c r="Y80" t="s">
        <v>32</v>
      </c>
    </row>
    <row r="81" spans="5:25" hidden="1" x14ac:dyDescent="0.35">
      <c r="E81" t="s">
        <v>105</v>
      </c>
      <c r="W81" t="s">
        <v>106</v>
      </c>
      <c r="X81">
        <v>190</v>
      </c>
      <c r="Y81" t="s">
        <v>32</v>
      </c>
    </row>
    <row r="82" spans="5:25" hidden="1" x14ac:dyDescent="0.35">
      <c r="E82" t="s">
        <v>105</v>
      </c>
      <c r="W82" t="s">
        <v>106</v>
      </c>
      <c r="X82">
        <v>190</v>
      </c>
      <c r="Y82" t="s">
        <v>32</v>
      </c>
    </row>
    <row r="83" spans="5:25" hidden="1" x14ac:dyDescent="0.35">
      <c r="E83" t="s">
        <v>105</v>
      </c>
      <c r="W83" t="s">
        <v>106</v>
      </c>
      <c r="X83">
        <v>190</v>
      </c>
      <c r="Y83" t="s">
        <v>32</v>
      </c>
    </row>
    <row r="84" spans="5:25" hidden="1" x14ac:dyDescent="0.35">
      <c r="E84" t="s">
        <v>105</v>
      </c>
      <c r="W84" t="s">
        <v>106</v>
      </c>
      <c r="X84">
        <v>190</v>
      </c>
      <c r="Y84" t="s">
        <v>32</v>
      </c>
    </row>
    <row r="85" spans="5:25" hidden="1" x14ac:dyDescent="0.35">
      <c r="E85" t="s">
        <v>105</v>
      </c>
      <c r="W85" t="s">
        <v>106</v>
      </c>
      <c r="X85">
        <v>190</v>
      </c>
      <c r="Y85" t="s">
        <v>32</v>
      </c>
    </row>
    <row r="86" spans="5:25" hidden="1" x14ac:dyDescent="0.35">
      <c r="E86" t="s">
        <v>105</v>
      </c>
      <c r="W86" t="s">
        <v>106</v>
      </c>
      <c r="X86">
        <v>190</v>
      </c>
      <c r="Y86" t="s">
        <v>32</v>
      </c>
    </row>
    <row r="87" spans="5:25" hidden="1" x14ac:dyDescent="0.35">
      <c r="E87" t="s">
        <v>105</v>
      </c>
      <c r="W87" t="s">
        <v>106</v>
      </c>
      <c r="X87">
        <v>190</v>
      </c>
      <c r="Y87" t="s">
        <v>32</v>
      </c>
    </row>
    <row r="88" spans="5:25" hidden="1" x14ac:dyDescent="0.35">
      <c r="E88" t="s">
        <v>105</v>
      </c>
      <c r="W88" t="s">
        <v>106</v>
      </c>
      <c r="X88">
        <v>190</v>
      </c>
      <c r="Y88" t="s">
        <v>32</v>
      </c>
    </row>
    <row r="89" spans="5:25" hidden="1" x14ac:dyDescent="0.35">
      <c r="E89" t="s">
        <v>105</v>
      </c>
      <c r="W89" t="s">
        <v>106</v>
      </c>
      <c r="X89">
        <v>190</v>
      </c>
      <c r="Y89" t="s">
        <v>32</v>
      </c>
    </row>
    <row r="90" spans="5:25" hidden="1" x14ac:dyDescent="0.35">
      <c r="E90" t="s">
        <v>105</v>
      </c>
      <c r="W90" t="s">
        <v>106</v>
      </c>
      <c r="X90">
        <v>190</v>
      </c>
      <c r="Y90" t="s">
        <v>32</v>
      </c>
    </row>
    <row r="91" spans="5:25" hidden="1" x14ac:dyDescent="0.35">
      <c r="E91" t="s">
        <v>105</v>
      </c>
      <c r="W91" t="s">
        <v>106</v>
      </c>
      <c r="X91">
        <v>190</v>
      </c>
      <c r="Y91" t="s">
        <v>32</v>
      </c>
    </row>
    <row r="92" spans="5:25" hidden="1" x14ac:dyDescent="0.35">
      <c r="E92" t="s">
        <v>105</v>
      </c>
      <c r="W92" t="s">
        <v>106</v>
      </c>
      <c r="X92">
        <v>190</v>
      </c>
      <c r="Y92" t="s">
        <v>32</v>
      </c>
    </row>
    <row r="93" spans="5:25" hidden="1" x14ac:dyDescent="0.35">
      <c r="E93" t="s">
        <v>105</v>
      </c>
      <c r="W93" t="s">
        <v>106</v>
      </c>
      <c r="X93">
        <v>190</v>
      </c>
      <c r="Y93" t="s">
        <v>32</v>
      </c>
    </row>
    <row r="94" spans="5:25" hidden="1" x14ac:dyDescent="0.35">
      <c r="E94" t="s">
        <v>105</v>
      </c>
      <c r="W94" t="s">
        <v>106</v>
      </c>
      <c r="X94">
        <v>190</v>
      </c>
      <c r="Y94" t="s">
        <v>32</v>
      </c>
    </row>
    <row r="95" spans="5:25" hidden="1" x14ac:dyDescent="0.35">
      <c r="E95" t="s">
        <v>105</v>
      </c>
      <c r="W95" t="s">
        <v>106</v>
      </c>
      <c r="X95">
        <v>190</v>
      </c>
      <c r="Y95" t="s">
        <v>32</v>
      </c>
    </row>
    <row r="96" spans="5:25" hidden="1" x14ac:dyDescent="0.35">
      <c r="E96" t="s">
        <v>105</v>
      </c>
      <c r="W96" t="s">
        <v>106</v>
      </c>
      <c r="X96">
        <v>190</v>
      </c>
      <c r="Y96" t="s">
        <v>32</v>
      </c>
    </row>
    <row r="97" spans="5:25" hidden="1" x14ac:dyDescent="0.35">
      <c r="E97" t="s">
        <v>105</v>
      </c>
      <c r="W97" t="s">
        <v>106</v>
      </c>
      <c r="X97">
        <v>190</v>
      </c>
      <c r="Y97" t="s">
        <v>32</v>
      </c>
    </row>
    <row r="98" spans="5:25" hidden="1" x14ac:dyDescent="0.35">
      <c r="E98" t="s">
        <v>105</v>
      </c>
      <c r="W98" t="s">
        <v>106</v>
      </c>
      <c r="X98">
        <v>190</v>
      </c>
      <c r="Y98" t="s">
        <v>32</v>
      </c>
    </row>
    <row r="99" spans="5:25" hidden="1" x14ac:dyDescent="0.35">
      <c r="E99" t="s">
        <v>105</v>
      </c>
      <c r="W99" t="s">
        <v>106</v>
      </c>
      <c r="X99">
        <v>190</v>
      </c>
      <c r="Y99" t="s">
        <v>32</v>
      </c>
    </row>
    <row r="100" spans="5:25" hidden="1" x14ac:dyDescent="0.35">
      <c r="E100" t="s">
        <v>105</v>
      </c>
      <c r="W100" t="s">
        <v>106</v>
      </c>
      <c r="X100">
        <v>190</v>
      </c>
      <c r="Y100" t="s">
        <v>32</v>
      </c>
    </row>
    <row r="101" spans="5:25" hidden="1" x14ac:dyDescent="0.35">
      <c r="E101" t="s">
        <v>105</v>
      </c>
      <c r="W101" t="s">
        <v>106</v>
      </c>
      <c r="X101">
        <v>190</v>
      </c>
      <c r="Y101" t="s">
        <v>32</v>
      </c>
    </row>
    <row r="102" spans="5:25" hidden="1" x14ac:dyDescent="0.35">
      <c r="E102" t="s">
        <v>105</v>
      </c>
      <c r="W102" t="s">
        <v>106</v>
      </c>
      <c r="X102">
        <v>190</v>
      </c>
      <c r="Y102" t="s">
        <v>32</v>
      </c>
    </row>
    <row r="103" spans="5:25" hidden="1" x14ac:dyDescent="0.35">
      <c r="E103" t="s">
        <v>105</v>
      </c>
      <c r="W103" t="s">
        <v>106</v>
      </c>
      <c r="X103">
        <v>190</v>
      </c>
      <c r="Y103" t="s">
        <v>32</v>
      </c>
    </row>
    <row r="104" spans="5:25" hidden="1" x14ac:dyDescent="0.35">
      <c r="E104" t="s">
        <v>105</v>
      </c>
      <c r="W104" t="s">
        <v>106</v>
      </c>
      <c r="X104">
        <v>190</v>
      </c>
      <c r="Y104" t="s">
        <v>32</v>
      </c>
    </row>
    <row r="105" spans="5:25" hidden="1" x14ac:dyDescent="0.35">
      <c r="E105" t="s">
        <v>105</v>
      </c>
      <c r="W105" t="s">
        <v>106</v>
      </c>
      <c r="X105">
        <v>190</v>
      </c>
      <c r="Y105" t="s">
        <v>32</v>
      </c>
    </row>
    <row r="106" spans="5:25" hidden="1" x14ac:dyDescent="0.35">
      <c r="E106" t="s">
        <v>105</v>
      </c>
      <c r="W106" t="s">
        <v>106</v>
      </c>
      <c r="X106">
        <v>190</v>
      </c>
      <c r="Y106" t="s">
        <v>32</v>
      </c>
    </row>
    <row r="107" spans="5:25" hidden="1" x14ac:dyDescent="0.35">
      <c r="E107" t="s">
        <v>105</v>
      </c>
      <c r="W107" t="s">
        <v>106</v>
      </c>
      <c r="X107">
        <v>190</v>
      </c>
      <c r="Y107" t="s">
        <v>32</v>
      </c>
    </row>
    <row r="108" spans="5:25" hidden="1" x14ac:dyDescent="0.35">
      <c r="E108" t="s">
        <v>105</v>
      </c>
      <c r="W108" t="s">
        <v>106</v>
      </c>
      <c r="X108">
        <v>190</v>
      </c>
      <c r="Y108" t="s">
        <v>32</v>
      </c>
    </row>
    <row r="109" spans="5:25" hidden="1" x14ac:dyDescent="0.35">
      <c r="E109" t="s">
        <v>105</v>
      </c>
      <c r="W109" t="s">
        <v>106</v>
      </c>
      <c r="X109">
        <v>190</v>
      </c>
      <c r="Y109" t="s">
        <v>32</v>
      </c>
    </row>
    <row r="110" spans="5:25" hidden="1" x14ac:dyDescent="0.35">
      <c r="E110" t="s">
        <v>105</v>
      </c>
      <c r="W110" t="s">
        <v>106</v>
      </c>
      <c r="X110">
        <v>190</v>
      </c>
      <c r="Y110" t="s">
        <v>32</v>
      </c>
    </row>
    <row r="111" spans="5:25" hidden="1" x14ac:dyDescent="0.35">
      <c r="E111" t="s">
        <v>105</v>
      </c>
      <c r="W111" t="s">
        <v>106</v>
      </c>
      <c r="X111">
        <v>190</v>
      </c>
      <c r="Y111" t="s">
        <v>32</v>
      </c>
    </row>
    <row r="112" spans="5:25" hidden="1" x14ac:dyDescent="0.35">
      <c r="E112" t="s">
        <v>105</v>
      </c>
      <c r="W112" t="s">
        <v>106</v>
      </c>
      <c r="X112">
        <v>190</v>
      </c>
      <c r="Y112" t="s">
        <v>32</v>
      </c>
    </row>
    <row r="113" spans="5:25" hidden="1" x14ac:dyDescent="0.35">
      <c r="E113" t="s">
        <v>105</v>
      </c>
      <c r="W113" t="s">
        <v>106</v>
      </c>
      <c r="X113">
        <v>190</v>
      </c>
      <c r="Y113" t="s">
        <v>32</v>
      </c>
    </row>
    <row r="114" spans="5:25" hidden="1" x14ac:dyDescent="0.35">
      <c r="E114" t="s">
        <v>105</v>
      </c>
      <c r="W114" t="s">
        <v>106</v>
      </c>
      <c r="X114">
        <v>190</v>
      </c>
      <c r="Y114" t="s">
        <v>32</v>
      </c>
    </row>
    <row r="115" spans="5:25" hidden="1" x14ac:dyDescent="0.35">
      <c r="E115" t="s">
        <v>105</v>
      </c>
      <c r="W115" t="s">
        <v>106</v>
      </c>
      <c r="X115">
        <v>190</v>
      </c>
      <c r="Y115" t="s">
        <v>32</v>
      </c>
    </row>
    <row r="116" spans="5:25" hidden="1" x14ac:dyDescent="0.35">
      <c r="E116" t="s">
        <v>105</v>
      </c>
      <c r="W116" t="s">
        <v>106</v>
      </c>
      <c r="X116">
        <v>190</v>
      </c>
      <c r="Y116" t="s">
        <v>32</v>
      </c>
    </row>
    <row r="117" spans="5:25" hidden="1" x14ac:dyDescent="0.35">
      <c r="E117" t="s">
        <v>105</v>
      </c>
      <c r="W117" t="s">
        <v>106</v>
      </c>
      <c r="X117">
        <v>190</v>
      </c>
      <c r="Y117" t="s">
        <v>32</v>
      </c>
    </row>
    <row r="118" spans="5:25" hidden="1" x14ac:dyDescent="0.35">
      <c r="E118" t="s">
        <v>105</v>
      </c>
      <c r="W118" t="s">
        <v>106</v>
      </c>
      <c r="X118">
        <v>190</v>
      </c>
      <c r="Y118" t="s">
        <v>32</v>
      </c>
    </row>
    <row r="119" spans="5:25" hidden="1" x14ac:dyDescent="0.35">
      <c r="E119" t="s">
        <v>105</v>
      </c>
      <c r="W119" t="s">
        <v>106</v>
      </c>
      <c r="X119">
        <v>190</v>
      </c>
      <c r="Y119" t="s">
        <v>32</v>
      </c>
    </row>
    <row r="120" spans="5:25" hidden="1" x14ac:dyDescent="0.35">
      <c r="E120" t="s">
        <v>105</v>
      </c>
      <c r="W120" t="s">
        <v>106</v>
      </c>
      <c r="X120">
        <v>190</v>
      </c>
      <c r="Y120" t="s">
        <v>32</v>
      </c>
    </row>
    <row r="121" spans="5:25" hidden="1" x14ac:dyDescent="0.35">
      <c r="E121" t="s">
        <v>105</v>
      </c>
      <c r="W121" t="s">
        <v>106</v>
      </c>
      <c r="X121">
        <v>190</v>
      </c>
      <c r="Y121" t="s">
        <v>32</v>
      </c>
    </row>
    <row r="122" spans="5:25" hidden="1" x14ac:dyDescent="0.35">
      <c r="E122" t="s">
        <v>105</v>
      </c>
      <c r="W122" t="s">
        <v>106</v>
      </c>
      <c r="X122">
        <v>190</v>
      </c>
      <c r="Y122" t="s">
        <v>32</v>
      </c>
    </row>
    <row r="123" spans="5:25" hidden="1" x14ac:dyDescent="0.35">
      <c r="E123" t="s">
        <v>105</v>
      </c>
      <c r="W123" t="s">
        <v>106</v>
      </c>
      <c r="X123">
        <v>190</v>
      </c>
      <c r="Y123" t="s">
        <v>32</v>
      </c>
    </row>
    <row r="124" spans="5:25" hidden="1" x14ac:dyDescent="0.35">
      <c r="E124" t="s">
        <v>105</v>
      </c>
      <c r="W124" t="s">
        <v>106</v>
      </c>
      <c r="X124">
        <v>190</v>
      </c>
      <c r="Y124" t="s">
        <v>32</v>
      </c>
    </row>
    <row r="125" spans="5:25" hidden="1" x14ac:dyDescent="0.35">
      <c r="E125" t="s">
        <v>105</v>
      </c>
      <c r="W125" t="s">
        <v>106</v>
      </c>
      <c r="X125">
        <v>190</v>
      </c>
      <c r="Y125" t="s">
        <v>32</v>
      </c>
    </row>
    <row r="126" spans="5:25" hidden="1" x14ac:dyDescent="0.35">
      <c r="E126" t="s">
        <v>105</v>
      </c>
      <c r="W126" t="s">
        <v>106</v>
      </c>
      <c r="X126">
        <v>190</v>
      </c>
      <c r="Y126" t="s">
        <v>32</v>
      </c>
    </row>
    <row r="127" spans="5:25" hidden="1" x14ac:dyDescent="0.35">
      <c r="E127" t="s">
        <v>105</v>
      </c>
      <c r="W127" t="s">
        <v>106</v>
      </c>
      <c r="X127">
        <v>190</v>
      </c>
      <c r="Y127" t="s">
        <v>32</v>
      </c>
    </row>
    <row r="128" spans="5:25" hidden="1" x14ac:dyDescent="0.35">
      <c r="E128" t="s">
        <v>105</v>
      </c>
      <c r="W128" t="s">
        <v>106</v>
      </c>
      <c r="X128">
        <v>190</v>
      </c>
      <c r="Y128" t="s">
        <v>32</v>
      </c>
    </row>
    <row r="129" spans="5:25" hidden="1" x14ac:dyDescent="0.35">
      <c r="E129" t="s">
        <v>105</v>
      </c>
      <c r="W129" t="s">
        <v>106</v>
      </c>
      <c r="X129">
        <v>190</v>
      </c>
      <c r="Y129" t="s">
        <v>32</v>
      </c>
    </row>
    <row r="130" spans="5:25" hidden="1" x14ac:dyDescent="0.35">
      <c r="E130" t="s">
        <v>105</v>
      </c>
      <c r="W130" t="s">
        <v>106</v>
      </c>
      <c r="X130">
        <v>190</v>
      </c>
      <c r="Y130" t="s">
        <v>32</v>
      </c>
    </row>
    <row r="131" spans="5:25" hidden="1" x14ac:dyDescent="0.35">
      <c r="E131" t="s">
        <v>105</v>
      </c>
      <c r="W131" t="s">
        <v>106</v>
      </c>
      <c r="X131">
        <v>190</v>
      </c>
      <c r="Y131" t="s">
        <v>32</v>
      </c>
    </row>
    <row r="132" spans="5:25" hidden="1" x14ac:dyDescent="0.35">
      <c r="E132" t="s">
        <v>105</v>
      </c>
      <c r="W132" t="s">
        <v>106</v>
      </c>
      <c r="X132">
        <v>190</v>
      </c>
      <c r="Y132" t="s">
        <v>32</v>
      </c>
    </row>
    <row r="133" spans="5:25" hidden="1" x14ac:dyDescent="0.35">
      <c r="E133" t="s">
        <v>105</v>
      </c>
      <c r="W133" t="s">
        <v>106</v>
      </c>
      <c r="X133">
        <v>190</v>
      </c>
      <c r="Y133" t="s">
        <v>32</v>
      </c>
    </row>
    <row r="134" spans="5:25" hidden="1" x14ac:dyDescent="0.35">
      <c r="E134" t="s">
        <v>105</v>
      </c>
      <c r="W134" t="s">
        <v>106</v>
      </c>
      <c r="X134">
        <v>190</v>
      </c>
      <c r="Y134" t="s">
        <v>32</v>
      </c>
    </row>
    <row r="135" spans="5:25" hidden="1" x14ac:dyDescent="0.35">
      <c r="E135" t="s">
        <v>105</v>
      </c>
      <c r="W135" t="s">
        <v>106</v>
      </c>
      <c r="X135">
        <v>190</v>
      </c>
      <c r="Y135" t="s">
        <v>32</v>
      </c>
    </row>
    <row r="136" spans="5:25" hidden="1" x14ac:dyDescent="0.35">
      <c r="E136" t="s">
        <v>105</v>
      </c>
      <c r="W136" t="s">
        <v>106</v>
      </c>
      <c r="X136">
        <v>190</v>
      </c>
      <c r="Y136" t="s">
        <v>32</v>
      </c>
    </row>
    <row r="137" spans="5:25" hidden="1" x14ac:dyDescent="0.35">
      <c r="E137" t="s">
        <v>105</v>
      </c>
      <c r="W137" t="s">
        <v>106</v>
      </c>
      <c r="X137">
        <v>190</v>
      </c>
      <c r="Y137" t="s">
        <v>32</v>
      </c>
    </row>
    <row r="138" spans="5:25" hidden="1" x14ac:dyDescent="0.35">
      <c r="E138" t="s">
        <v>105</v>
      </c>
      <c r="W138" t="s">
        <v>106</v>
      </c>
      <c r="X138">
        <v>190</v>
      </c>
      <c r="Y138" t="s">
        <v>32</v>
      </c>
    </row>
    <row r="139" spans="5:25" hidden="1" x14ac:dyDescent="0.35">
      <c r="E139" t="s">
        <v>105</v>
      </c>
      <c r="W139" t="s">
        <v>106</v>
      </c>
      <c r="X139">
        <v>190</v>
      </c>
      <c r="Y139" t="s">
        <v>32</v>
      </c>
    </row>
    <row r="140" spans="5:25" hidden="1" x14ac:dyDescent="0.35">
      <c r="E140" t="s">
        <v>105</v>
      </c>
      <c r="W140" t="s">
        <v>106</v>
      </c>
      <c r="X140">
        <v>190</v>
      </c>
      <c r="Y140" t="s">
        <v>32</v>
      </c>
    </row>
    <row r="141" spans="5:25" hidden="1" x14ac:dyDescent="0.35">
      <c r="E141" t="s">
        <v>105</v>
      </c>
      <c r="W141" t="s">
        <v>106</v>
      </c>
      <c r="X141">
        <v>190</v>
      </c>
      <c r="Y141" t="s">
        <v>32</v>
      </c>
    </row>
    <row r="142" spans="5:25" hidden="1" x14ac:dyDescent="0.35">
      <c r="E142" t="s">
        <v>105</v>
      </c>
      <c r="W142" t="s">
        <v>106</v>
      </c>
      <c r="X142">
        <v>190</v>
      </c>
      <c r="Y142" t="s">
        <v>32</v>
      </c>
    </row>
    <row r="143" spans="5:25" hidden="1" x14ac:dyDescent="0.35">
      <c r="E143" t="s">
        <v>105</v>
      </c>
      <c r="W143" t="s">
        <v>106</v>
      </c>
      <c r="X143">
        <v>190</v>
      </c>
      <c r="Y143" t="s">
        <v>32</v>
      </c>
    </row>
    <row r="144" spans="5:25" hidden="1" x14ac:dyDescent="0.35">
      <c r="E144" t="s">
        <v>105</v>
      </c>
      <c r="W144" t="s">
        <v>106</v>
      </c>
      <c r="X144">
        <v>190</v>
      </c>
      <c r="Y144" t="s">
        <v>32</v>
      </c>
    </row>
    <row r="145" spans="5:25" hidden="1" x14ac:dyDescent="0.35">
      <c r="E145" t="s">
        <v>105</v>
      </c>
      <c r="W145" t="s">
        <v>106</v>
      </c>
      <c r="X145">
        <v>190</v>
      </c>
      <c r="Y145" t="s">
        <v>32</v>
      </c>
    </row>
    <row r="146" spans="5:25" hidden="1" x14ac:dyDescent="0.35">
      <c r="E146" t="s">
        <v>105</v>
      </c>
      <c r="W146" t="s">
        <v>106</v>
      </c>
      <c r="X146">
        <v>190</v>
      </c>
      <c r="Y146" t="s">
        <v>32</v>
      </c>
    </row>
    <row r="147" spans="5:25" hidden="1" x14ac:dyDescent="0.35">
      <c r="E147" t="s">
        <v>105</v>
      </c>
      <c r="W147" t="s">
        <v>106</v>
      </c>
      <c r="X147">
        <v>190</v>
      </c>
      <c r="Y147" t="s">
        <v>32</v>
      </c>
    </row>
    <row r="148" spans="5:25" hidden="1" x14ac:dyDescent="0.35">
      <c r="E148" t="s">
        <v>105</v>
      </c>
      <c r="W148" t="s">
        <v>106</v>
      </c>
      <c r="X148">
        <v>190</v>
      </c>
      <c r="Y148" t="s">
        <v>32</v>
      </c>
    </row>
    <row r="149" spans="5:25" hidden="1" x14ac:dyDescent="0.35">
      <c r="E149" t="s">
        <v>105</v>
      </c>
      <c r="W149" t="s">
        <v>106</v>
      </c>
      <c r="X149">
        <v>190</v>
      </c>
      <c r="Y149" t="s">
        <v>32</v>
      </c>
    </row>
    <row r="150" spans="5:25" hidden="1" x14ac:dyDescent="0.35">
      <c r="E150" t="s">
        <v>105</v>
      </c>
      <c r="W150" t="s">
        <v>106</v>
      </c>
      <c r="X150">
        <v>190</v>
      </c>
      <c r="Y150" t="s">
        <v>32</v>
      </c>
    </row>
    <row r="151" spans="5:25" hidden="1" x14ac:dyDescent="0.35">
      <c r="E151" t="s">
        <v>105</v>
      </c>
      <c r="W151" t="s">
        <v>106</v>
      </c>
      <c r="X151">
        <v>190</v>
      </c>
      <c r="Y151" t="s">
        <v>32</v>
      </c>
    </row>
    <row r="152" spans="5:25" hidden="1" x14ac:dyDescent="0.35">
      <c r="E152" t="s">
        <v>105</v>
      </c>
      <c r="W152" t="s">
        <v>106</v>
      </c>
      <c r="X152">
        <v>190</v>
      </c>
      <c r="Y152" t="s">
        <v>32</v>
      </c>
    </row>
    <row r="153" spans="5:25" hidden="1" x14ac:dyDescent="0.35">
      <c r="E153" t="s">
        <v>105</v>
      </c>
      <c r="W153" t="s">
        <v>106</v>
      </c>
      <c r="X153">
        <v>190</v>
      </c>
      <c r="Y153" t="s">
        <v>32</v>
      </c>
    </row>
    <row r="154" spans="5:25" hidden="1" x14ac:dyDescent="0.35">
      <c r="E154" t="s">
        <v>105</v>
      </c>
      <c r="W154" t="s">
        <v>106</v>
      </c>
      <c r="X154">
        <v>190</v>
      </c>
      <c r="Y154" t="s">
        <v>32</v>
      </c>
    </row>
    <row r="155" spans="5:25" hidden="1" x14ac:dyDescent="0.35">
      <c r="E155" t="s">
        <v>105</v>
      </c>
      <c r="W155" t="s">
        <v>106</v>
      </c>
      <c r="X155">
        <v>190</v>
      </c>
      <c r="Y155" t="s">
        <v>32</v>
      </c>
    </row>
    <row r="156" spans="5:25" hidden="1" x14ac:dyDescent="0.35">
      <c r="E156" t="s">
        <v>105</v>
      </c>
      <c r="W156" t="s">
        <v>106</v>
      </c>
      <c r="X156">
        <v>190</v>
      </c>
      <c r="Y156" t="s">
        <v>32</v>
      </c>
    </row>
    <row r="157" spans="5:25" hidden="1" x14ac:dyDescent="0.35">
      <c r="E157" t="s">
        <v>105</v>
      </c>
      <c r="W157" t="s">
        <v>106</v>
      </c>
      <c r="X157">
        <v>190</v>
      </c>
      <c r="Y157" t="s">
        <v>32</v>
      </c>
    </row>
    <row r="158" spans="5:25" hidden="1" x14ac:dyDescent="0.35">
      <c r="E158" t="s">
        <v>105</v>
      </c>
      <c r="W158" t="s">
        <v>106</v>
      </c>
      <c r="X158">
        <v>190</v>
      </c>
      <c r="Y158" t="s">
        <v>32</v>
      </c>
    </row>
    <row r="159" spans="5:25" hidden="1" x14ac:dyDescent="0.35">
      <c r="E159" t="s">
        <v>105</v>
      </c>
      <c r="W159" t="s">
        <v>106</v>
      </c>
      <c r="X159">
        <v>190</v>
      </c>
      <c r="Y159" t="s">
        <v>32</v>
      </c>
    </row>
    <row r="160" spans="5:25" hidden="1" x14ac:dyDescent="0.35">
      <c r="E160" t="s">
        <v>105</v>
      </c>
      <c r="W160" t="s">
        <v>106</v>
      </c>
      <c r="X160">
        <v>190</v>
      </c>
      <c r="Y160" t="s">
        <v>32</v>
      </c>
    </row>
    <row r="161" spans="5:25" hidden="1" x14ac:dyDescent="0.35">
      <c r="E161" t="s">
        <v>105</v>
      </c>
      <c r="W161" t="s">
        <v>106</v>
      </c>
      <c r="X161">
        <v>190</v>
      </c>
      <c r="Y161" t="s">
        <v>32</v>
      </c>
    </row>
    <row r="162" spans="5:25" hidden="1" x14ac:dyDescent="0.35">
      <c r="E162" t="s">
        <v>105</v>
      </c>
      <c r="W162" t="s">
        <v>106</v>
      </c>
      <c r="X162">
        <v>190</v>
      </c>
      <c r="Y162" t="s">
        <v>32</v>
      </c>
    </row>
    <row r="163" spans="5:25" hidden="1" x14ac:dyDescent="0.35">
      <c r="E163" t="s">
        <v>105</v>
      </c>
      <c r="W163" t="s">
        <v>106</v>
      </c>
      <c r="X163">
        <v>190</v>
      </c>
      <c r="Y163" t="s">
        <v>32</v>
      </c>
    </row>
    <row r="164" spans="5:25" hidden="1" x14ac:dyDescent="0.35">
      <c r="E164" t="s">
        <v>105</v>
      </c>
      <c r="W164" t="s">
        <v>106</v>
      </c>
      <c r="X164">
        <v>190</v>
      </c>
      <c r="Y164" t="s">
        <v>32</v>
      </c>
    </row>
    <row r="165" spans="5:25" hidden="1" x14ac:dyDescent="0.35">
      <c r="E165" t="s">
        <v>105</v>
      </c>
      <c r="W165" t="s">
        <v>106</v>
      </c>
      <c r="X165">
        <v>190</v>
      </c>
      <c r="Y165" t="s">
        <v>32</v>
      </c>
    </row>
    <row r="166" spans="5:25" hidden="1" x14ac:dyDescent="0.35">
      <c r="E166" t="s">
        <v>105</v>
      </c>
      <c r="W166" t="s">
        <v>106</v>
      </c>
      <c r="X166">
        <v>190</v>
      </c>
      <c r="Y166" t="s">
        <v>32</v>
      </c>
    </row>
    <row r="167" spans="5:25" hidden="1" x14ac:dyDescent="0.35">
      <c r="E167" t="s">
        <v>105</v>
      </c>
      <c r="W167" t="s">
        <v>106</v>
      </c>
      <c r="X167">
        <v>190</v>
      </c>
      <c r="Y167" t="s">
        <v>32</v>
      </c>
    </row>
    <row r="168" spans="5:25" hidden="1" x14ac:dyDescent="0.35">
      <c r="E168" t="s">
        <v>105</v>
      </c>
      <c r="W168" t="s">
        <v>106</v>
      </c>
      <c r="X168">
        <v>190</v>
      </c>
      <c r="Y168" t="s">
        <v>32</v>
      </c>
    </row>
    <row r="169" spans="5:25" hidden="1" x14ac:dyDescent="0.35">
      <c r="E169" t="s">
        <v>105</v>
      </c>
      <c r="W169" t="s">
        <v>106</v>
      </c>
      <c r="X169">
        <v>190</v>
      </c>
      <c r="Y169" t="s">
        <v>32</v>
      </c>
    </row>
    <row r="170" spans="5:25" hidden="1" x14ac:dyDescent="0.35">
      <c r="E170" t="s">
        <v>105</v>
      </c>
      <c r="W170" t="s">
        <v>106</v>
      </c>
      <c r="X170">
        <v>190</v>
      </c>
      <c r="Y170" t="s">
        <v>32</v>
      </c>
    </row>
    <row r="171" spans="5:25" hidden="1" x14ac:dyDescent="0.35">
      <c r="E171" t="s">
        <v>105</v>
      </c>
      <c r="W171" t="s">
        <v>106</v>
      </c>
      <c r="X171">
        <v>190</v>
      </c>
      <c r="Y171" t="s">
        <v>32</v>
      </c>
    </row>
    <row r="172" spans="5:25" hidden="1" x14ac:dyDescent="0.35">
      <c r="E172" t="s">
        <v>105</v>
      </c>
      <c r="W172" t="s">
        <v>106</v>
      </c>
      <c r="X172">
        <v>190</v>
      </c>
      <c r="Y172" t="s">
        <v>32</v>
      </c>
    </row>
    <row r="173" spans="5:25" hidden="1" x14ac:dyDescent="0.35">
      <c r="E173" t="s">
        <v>105</v>
      </c>
      <c r="W173" t="s">
        <v>106</v>
      </c>
      <c r="X173">
        <v>190</v>
      </c>
      <c r="Y173" t="s">
        <v>32</v>
      </c>
    </row>
    <row r="174" spans="5:25" hidden="1" x14ac:dyDescent="0.35">
      <c r="E174" t="s">
        <v>105</v>
      </c>
      <c r="W174" t="s">
        <v>106</v>
      </c>
      <c r="X174">
        <v>190</v>
      </c>
      <c r="Y174" t="s">
        <v>32</v>
      </c>
    </row>
    <row r="175" spans="5:25" hidden="1" x14ac:dyDescent="0.35">
      <c r="E175" t="s">
        <v>105</v>
      </c>
      <c r="W175" t="s">
        <v>106</v>
      </c>
      <c r="X175">
        <v>190</v>
      </c>
      <c r="Y175" t="s">
        <v>32</v>
      </c>
    </row>
    <row r="176" spans="5:25" hidden="1" x14ac:dyDescent="0.35">
      <c r="E176" t="s">
        <v>105</v>
      </c>
      <c r="W176" t="s">
        <v>106</v>
      </c>
      <c r="X176">
        <v>190</v>
      </c>
      <c r="Y176" t="s">
        <v>32</v>
      </c>
    </row>
    <row r="177" spans="5:25" hidden="1" x14ac:dyDescent="0.35">
      <c r="E177" t="s">
        <v>105</v>
      </c>
      <c r="W177" t="s">
        <v>106</v>
      </c>
      <c r="X177">
        <v>190</v>
      </c>
      <c r="Y177" t="s">
        <v>32</v>
      </c>
    </row>
    <row r="178" spans="5:25" hidden="1" x14ac:dyDescent="0.35">
      <c r="E178" t="s">
        <v>105</v>
      </c>
      <c r="W178" t="s">
        <v>106</v>
      </c>
      <c r="X178">
        <v>190</v>
      </c>
      <c r="Y178" t="s">
        <v>32</v>
      </c>
    </row>
    <row r="179" spans="5:25" hidden="1" x14ac:dyDescent="0.35">
      <c r="E179" t="s">
        <v>105</v>
      </c>
      <c r="W179" t="s">
        <v>106</v>
      </c>
      <c r="X179">
        <v>190</v>
      </c>
      <c r="Y179" t="s">
        <v>32</v>
      </c>
    </row>
    <row r="180" spans="5:25" hidden="1" x14ac:dyDescent="0.35">
      <c r="E180" t="s">
        <v>105</v>
      </c>
      <c r="W180" t="s">
        <v>106</v>
      </c>
      <c r="X180">
        <v>190</v>
      </c>
      <c r="Y180" t="s">
        <v>32</v>
      </c>
    </row>
    <row r="181" spans="5:25" hidden="1" x14ac:dyDescent="0.35">
      <c r="E181" t="s">
        <v>105</v>
      </c>
      <c r="W181" t="s">
        <v>106</v>
      </c>
      <c r="X181">
        <v>190</v>
      </c>
      <c r="Y181" t="s">
        <v>32</v>
      </c>
    </row>
    <row r="182" spans="5:25" hidden="1" x14ac:dyDescent="0.35">
      <c r="E182" t="s">
        <v>105</v>
      </c>
      <c r="W182" t="s">
        <v>106</v>
      </c>
      <c r="X182">
        <v>190</v>
      </c>
      <c r="Y182" t="s">
        <v>32</v>
      </c>
    </row>
    <row r="183" spans="5:25" hidden="1" x14ac:dyDescent="0.35">
      <c r="E183" t="s">
        <v>105</v>
      </c>
      <c r="W183" t="s">
        <v>106</v>
      </c>
      <c r="X183">
        <v>190</v>
      </c>
      <c r="Y183" t="s">
        <v>32</v>
      </c>
    </row>
    <row r="184" spans="5:25" hidden="1" x14ac:dyDescent="0.35">
      <c r="E184" t="s">
        <v>105</v>
      </c>
      <c r="W184" t="s">
        <v>106</v>
      </c>
      <c r="X184">
        <v>190</v>
      </c>
      <c r="Y184" t="s">
        <v>32</v>
      </c>
    </row>
    <row r="185" spans="5:25" hidden="1" x14ac:dyDescent="0.35">
      <c r="E185" t="s">
        <v>105</v>
      </c>
      <c r="W185" t="s">
        <v>106</v>
      </c>
      <c r="X185">
        <v>190</v>
      </c>
      <c r="Y185" t="s">
        <v>32</v>
      </c>
    </row>
    <row r="186" spans="5:25" hidden="1" x14ac:dyDescent="0.35">
      <c r="E186" t="s">
        <v>105</v>
      </c>
      <c r="W186" t="s">
        <v>106</v>
      </c>
      <c r="X186">
        <v>190</v>
      </c>
      <c r="Y186" t="s">
        <v>32</v>
      </c>
    </row>
    <row r="187" spans="5:25" hidden="1" x14ac:dyDescent="0.35">
      <c r="E187" t="s">
        <v>105</v>
      </c>
      <c r="W187" t="s">
        <v>106</v>
      </c>
      <c r="X187">
        <v>190</v>
      </c>
      <c r="Y187" t="s">
        <v>32</v>
      </c>
    </row>
    <row r="188" spans="5:25" hidden="1" x14ac:dyDescent="0.35">
      <c r="E188" t="s">
        <v>105</v>
      </c>
      <c r="W188" t="s">
        <v>106</v>
      </c>
      <c r="X188">
        <v>190</v>
      </c>
      <c r="Y188" t="s">
        <v>32</v>
      </c>
    </row>
    <row r="189" spans="5:25" hidden="1" x14ac:dyDescent="0.35">
      <c r="E189" t="s">
        <v>105</v>
      </c>
      <c r="W189" t="s">
        <v>106</v>
      </c>
      <c r="X189">
        <v>190</v>
      </c>
      <c r="Y189" t="s">
        <v>32</v>
      </c>
    </row>
    <row r="190" spans="5:25" hidden="1" x14ac:dyDescent="0.35">
      <c r="E190" t="s">
        <v>105</v>
      </c>
      <c r="W190" t="s">
        <v>106</v>
      </c>
      <c r="X190">
        <v>190</v>
      </c>
      <c r="Y190" t="s">
        <v>32</v>
      </c>
    </row>
    <row r="191" spans="5:25" hidden="1" x14ac:dyDescent="0.35">
      <c r="E191" t="s">
        <v>105</v>
      </c>
      <c r="W191" t="s">
        <v>106</v>
      </c>
      <c r="X191">
        <v>190</v>
      </c>
      <c r="Y191" t="s">
        <v>32</v>
      </c>
    </row>
    <row r="192" spans="5:25" hidden="1" x14ac:dyDescent="0.35">
      <c r="E192" t="s">
        <v>105</v>
      </c>
      <c r="W192" t="s">
        <v>106</v>
      </c>
      <c r="X192">
        <v>190</v>
      </c>
      <c r="Y192" t="s">
        <v>32</v>
      </c>
    </row>
    <row r="193" spans="5:25" hidden="1" x14ac:dyDescent="0.35">
      <c r="E193" t="s">
        <v>105</v>
      </c>
      <c r="W193" t="s">
        <v>106</v>
      </c>
      <c r="X193">
        <v>190</v>
      </c>
      <c r="Y193" t="s">
        <v>32</v>
      </c>
    </row>
    <row r="194" spans="5:25" hidden="1" x14ac:dyDescent="0.35">
      <c r="E194" t="s">
        <v>105</v>
      </c>
      <c r="W194" t="s">
        <v>106</v>
      </c>
      <c r="X194">
        <v>190</v>
      </c>
      <c r="Y194" t="s">
        <v>32</v>
      </c>
    </row>
    <row r="195" spans="5:25" hidden="1" x14ac:dyDescent="0.35">
      <c r="E195" t="s">
        <v>105</v>
      </c>
      <c r="W195" t="s">
        <v>106</v>
      </c>
      <c r="X195">
        <v>190</v>
      </c>
      <c r="Y195" t="s">
        <v>32</v>
      </c>
    </row>
    <row r="196" spans="5:25" hidden="1" x14ac:dyDescent="0.35">
      <c r="E196" t="s">
        <v>105</v>
      </c>
      <c r="W196" t="s">
        <v>106</v>
      </c>
      <c r="X196">
        <v>190</v>
      </c>
      <c r="Y196" t="s">
        <v>32</v>
      </c>
    </row>
    <row r="197" spans="5:25" hidden="1" x14ac:dyDescent="0.35">
      <c r="E197" t="s">
        <v>105</v>
      </c>
      <c r="W197" t="s">
        <v>106</v>
      </c>
      <c r="X197">
        <v>190</v>
      </c>
      <c r="Y197" t="s">
        <v>32</v>
      </c>
    </row>
    <row r="198" spans="5:25" hidden="1" x14ac:dyDescent="0.35">
      <c r="E198" t="s">
        <v>105</v>
      </c>
      <c r="W198" t="s">
        <v>106</v>
      </c>
      <c r="X198">
        <v>190</v>
      </c>
      <c r="Y198" t="s">
        <v>32</v>
      </c>
    </row>
    <row r="199" spans="5:25" hidden="1" x14ac:dyDescent="0.35">
      <c r="E199" t="s">
        <v>105</v>
      </c>
      <c r="W199" t="s">
        <v>106</v>
      </c>
      <c r="X199">
        <v>190</v>
      </c>
      <c r="Y199" t="s">
        <v>32</v>
      </c>
    </row>
    <row r="200" spans="5:25" hidden="1" x14ac:dyDescent="0.35">
      <c r="E200" t="s">
        <v>105</v>
      </c>
      <c r="W200" t="s">
        <v>106</v>
      </c>
      <c r="X200">
        <v>190</v>
      </c>
      <c r="Y200" t="s">
        <v>32</v>
      </c>
    </row>
    <row r="201" spans="5:25" hidden="1" x14ac:dyDescent="0.35">
      <c r="E201" t="s">
        <v>105</v>
      </c>
      <c r="W201" t="s">
        <v>106</v>
      </c>
      <c r="X201">
        <v>190</v>
      </c>
      <c r="Y201" t="s">
        <v>32</v>
      </c>
    </row>
    <row r="202" spans="5:25" hidden="1" x14ac:dyDescent="0.35">
      <c r="E202" t="s">
        <v>105</v>
      </c>
      <c r="W202" t="s">
        <v>106</v>
      </c>
      <c r="X202">
        <v>190</v>
      </c>
      <c r="Y202" t="s">
        <v>32</v>
      </c>
    </row>
    <row r="203" spans="5:25" hidden="1" x14ac:dyDescent="0.35">
      <c r="E203" t="s">
        <v>105</v>
      </c>
      <c r="W203" t="s">
        <v>106</v>
      </c>
      <c r="X203">
        <v>190</v>
      </c>
      <c r="Y203" t="s">
        <v>32</v>
      </c>
    </row>
    <row r="204" spans="5:25" hidden="1" x14ac:dyDescent="0.35">
      <c r="E204" t="s">
        <v>105</v>
      </c>
      <c r="W204" t="s">
        <v>106</v>
      </c>
      <c r="X204">
        <v>190</v>
      </c>
      <c r="Y204" t="s">
        <v>32</v>
      </c>
    </row>
    <row r="205" spans="5:25" hidden="1" x14ac:dyDescent="0.35">
      <c r="E205" t="s">
        <v>105</v>
      </c>
      <c r="W205" t="s">
        <v>106</v>
      </c>
      <c r="X205">
        <v>190</v>
      </c>
      <c r="Y205" t="s">
        <v>32</v>
      </c>
    </row>
    <row r="206" spans="5:25" hidden="1" x14ac:dyDescent="0.35">
      <c r="E206" t="s">
        <v>105</v>
      </c>
      <c r="W206" t="s">
        <v>106</v>
      </c>
      <c r="X206">
        <v>190</v>
      </c>
      <c r="Y206" t="s">
        <v>32</v>
      </c>
    </row>
    <row r="207" spans="5:25" hidden="1" x14ac:dyDescent="0.35">
      <c r="E207" t="s">
        <v>105</v>
      </c>
      <c r="W207" t="s">
        <v>106</v>
      </c>
      <c r="X207">
        <v>190</v>
      </c>
      <c r="Y207" t="s">
        <v>32</v>
      </c>
    </row>
    <row r="208" spans="5:25" hidden="1" x14ac:dyDescent="0.35">
      <c r="E208" t="s">
        <v>105</v>
      </c>
      <c r="W208" t="s">
        <v>106</v>
      </c>
      <c r="X208">
        <v>190</v>
      </c>
      <c r="Y208" t="s">
        <v>32</v>
      </c>
    </row>
    <row r="209" spans="5:25" hidden="1" x14ac:dyDescent="0.35">
      <c r="E209" t="s">
        <v>105</v>
      </c>
      <c r="W209" t="s">
        <v>106</v>
      </c>
      <c r="X209">
        <v>190</v>
      </c>
      <c r="Y209" t="s">
        <v>32</v>
      </c>
    </row>
    <row r="210" spans="5:25" hidden="1" x14ac:dyDescent="0.35">
      <c r="E210" t="s">
        <v>105</v>
      </c>
      <c r="W210" t="s">
        <v>106</v>
      </c>
      <c r="X210">
        <v>190</v>
      </c>
      <c r="Y210" t="s">
        <v>32</v>
      </c>
    </row>
    <row r="211" spans="5:25" hidden="1" x14ac:dyDescent="0.35">
      <c r="E211" t="s">
        <v>105</v>
      </c>
      <c r="W211" t="s">
        <v>106</v>
      </c>
      <c r="X211">
        <v>190</v>
      </c>
      <c r="Y211" t="s">
        <v>32</v>
      </c>
    </row>
    <row r="212" spans="5:25" hidden="1" x14ac:dyDescent="0.35">
      <c r="E212" t="s">
        <v>105</v>
      </c>
      <c r="W212" t="s">
        <v>106</v>
      </c>
      <c r="X212">
        <v>190</v>
      </c>
      <c r="Y212" t="s">
        <v>32</v>
      </c>
    </row>
    <row r="213" spans="5:25" hidden="1" x14ac:dyDescent="0.35">
      <c r="E213" t="s">
        <v>105</v>
      </c>
      <c r="W213" t="s">
        <v>106</v>
      </c>
      <c r="X213">
        <v>190</v>
      </c>
      <c r="Y213" t="s">
        <v>32</v>
      </c>
    </row>
    <row r="214" spans="5:25" hidden="1" x14ac:dyDescent="0.35">
      <c r="E214" t="s">
        <v>105</v>
      </c>
      <c r="W214" t="s">
        <v>106</v>
      </c>
      <c r="X214">
        <v>190</v>
      </c>
      <c r="Y214" t="s">
        <v>32</v>
      </c>
    </row>
    <row r="215" spans="5:25" hidden="1" x14ac:dyDescent="0.35">
      <c r="E215" t="s">
        <v>105</v>
      </c>
      <c r="W215" t="s">
        <v>106</v>
      </c>
      <c r="X215">
        <v>190</v>
      </c>
      <c r="Y215" t="s">
        <v>32</v>
      </c>
    </row>
    <row r="216" spans="5:25" hidden="1" x14ac:dyDescent="0.35">
      <c r="E216" t="s">
        <v>105</v>
      </c>
      <c r="W216" t="s">
        <v>106</v>
      </c>
      <c r="X216">
        <v>190</v>
      </c>
      <c r="Y216" t="s">
        <v>32</v>
      </c>
    </row>
    <row r="217" spans="5:25" hidden="1" x14ac:dyDescent="0.35">
      <c r="E217" t="s">
        <v>105</v>
      </c>
      <c r="W217" t="s">
        <v>106</v>
      </c>
      <c r="X217">
        <v>190</v>
      </c>
      <c r="Y217" t="s">
        <v>32</v>
      </c>
    </row>
    <row r="218" spans="5:25" hidden="1" x14ac:dyDescent="0.35">
      <c r="E218" t="s">
        <v>105</v>
      </c>
      <c r="W218" t="s">
        <v>106</v>
      </c>
      <c r="X218">
        <v>190</v>
      </c>
      <c r="Y218" t="s">
        <v>32</v>
      </c>
    </row>
    <row r="219" spans="5:25" hidden="1" x14ac:dyDescent="0.35">
      <c r="E219" t="s">
        <v>105</v>
      </c>
      <c r="W219" t="s">
        <v>106</v>
      </c>
      <c r="X219">
        <v>190</v>
      </c>
      <c r="Y219" t="s">
        <v>32</v>
      </c>
    </row>
    <row r="220" spans="5:25" hidden="1" x14ac:dyDescent="0.35">
      <c r="E220" t="s">
        <v>105</v>
      </c>
      <c r="W220" t="s">
        <v>106</v>
      </c>
      <c r="X220">
        <v>190</v>
      </c>
      <c r="Y220" t="s">
        <v>32</v>
      </c>
    </row>
    <row r="221" spans="5:25" hidden="1" x14ac:dyDescent="0.35">
      <c r="E221" t="s">
        <v>105</v>
      </c>
      <c r="W221" t="s">
        <v>106</v>
      </c>
      <c r="X221">
        <v>190</v>
      </c>
      <c r="Y221" t="s">
        <v>32</v>
      </c>
    </row>
    <row r="222" spans="5:25" hidden="1" x14ac:dyDescent="0.35">
      <c r="E222" t="s">
        <v>105</v>
      </c>
      <c r="W222" t="s">
        <v>106</v>
      </c>
      <c r="X222">
        <v>190</v>
      </c>
      <c r="Y222" t="s">
        <v>32</v>
      </c>
    </row>
    <row r="223" spans="5:25" hidden="1" x14ac:dyDescent="0.35">
      <c r="E223" t="s">
        <v>105</v>
      </c>
      <c r="W223" t="s">
        <v>106</v>
      </c>
      <c r="X223">
        <v>190</v>
      </c>
      <c r="Y223" t="s">
        <v>32</v>
      </c>
    </row>
    <row r="224" spans="5:25" hidden="1" x14ac:dyDescent="0.35">
      <c r="E224" t="s">
        <v>105</v>
      </c>
      <c r="W224" t="s">
        <v>106</v>
      </c>
      <c r="X224">
        <v>190</v>
      </c>
      <c r="Y224" t="s">
        <v>32</v>
      </c>
    </row>
    <row r="225" spans="5:25" hidden="1" x14ac:dyDescent="0.35">
      <c r="E225" t="s">
        <v>105</v>
      </c>
      <c r="W225" t="s">
        <v>106</v>
      </c>
      <c r="X225">
        <v>190</v>
      </c>
      <c r="Y225" t="s">
        <v>32</v>
      </c>
    </row>
    <row r="226" spans="5:25" hidden="1" x14ac:dyDescent="0.35">
      <c r="E226" t="s">
        <v>105</v>
      </c>
      <c r="W226" t="s">
        <v>106</v>
      </c>
      <c r="X226">
        <v>190</v>
      </c>
      <c r="Y226" t="s">
        <v>32</v>
      </c>
    </row>
    <row r="227" spans="5:25" hidden="1" x14ac:dyDescent="0.35">
      <c r="E227" t="s">
        <v>105</v>
      </c>
      <c r="W227" t="s">
        <v>106</v>
      </c>
      <c r="X227">
        <v>190</v>
      </c>
      <c r="Y227" t="s">
        <v>32</v>
      </c>
    </row>
    <row r="228" spans="5:25" hidden="1" x14ac:dyDescent="0.35">
      <c r="E228" t="s">
        <v>105</v>
      </c>
      <c r="W228" t="s">
        <v>106</v>
      </c>
      <c r="X228">
        <v>190</v>
      </c>
      <c r="Y228" t="s">
        <v>32</v>
      </c>
    </row>
    <row r="229" spans="5:25" hidden="1" x14ac:dyDescent="0.35">
      <c r="E229" t="s">
        <v>105</v>
      </c>
      <c r="W229" t="s">
        <v>106</v>
      </c>
      <c r="X229">
        <v>190</v>
      </c>
      <c r="Y229" t="s">
        <v>32</v>
      </c>
    </row>
    <row r="230" spans="5:25" hidden="1" x14ac:dyDescent="0.35">
      <c r="E230" t="s">
        <v>105</v>
      </c>
      <c r="W230" t="s">
        <v>106</v>
      </c>
      <c r="X230">
        <v>190</v>
      </c>
      <c r="Y230" t="s">
        <v>32</v>
      </c>
    </row>
    <row r="231" spans="5:25" hidden="1" x14ac:dyDescent="0.35">
      <c r="E231" t="s">
        <v>105</v>
      </c>
      <c r="W231" t="s">
        <v>106</v>
      </c>
      <c r="X231">
        <v>190</v>
      </c>
      <c r="Y231" t="s">
        <v>32</v>
      </c>
    </row>
    <row r="232" spans="5:25" hidden="1" x14ac:dyDescent="0.35">
      <c r="E232" t="s">
        <v>105</v>
      </c>
      <c r="W232" t="s">
        <v>106</v>
      </c>
      <c r="X232">
        <v>190</v>
      </c>
      <c r="Y232" t="s">
        <v>32</v>
      </c>
    </row>
    <row r="233" spans="5:25" hidden="1" x14ac:dyDescent="0.35">
      <c r="E233" t="s">
        <v>105</v>
      </c>
      <c r="W233" t="s">
        <v>106</v>
      </c>
      <c r="X233">
        <v>190</v>
      </c>
      <c r="Y233" t="s">
        <v>32</v>
      </c>
    </row>
    <row r="234" spans="5:25" hidden="1" x14ac:dyDescent="0.35">
      <c r="E234" t="s">
        <v>105</v>
      </c>
      <c r="W234" t="s">
        <v>106</v>
      </c>
      <c r="X234">
        <v>190</v>
      </c>
      <c r="Y234" t="s">
        <v>32</v>
      </c>
    </row>
    <row r="235" spans="5:25" hidden="1" x14ac:dyDescent="0.35">
      <c r="E235" t="s">
        <v>105</v>
      </c>
      <c r="W235" t="s">
        <v>106</v>
      </c>
      <c r="X235">
        <v>190</v>
      </c>
      <c r="Y235" t="s">
        <v>32</v>
      </c>
    </row>
    <row r="236" spans="5:25" hidden="1" x14ac:dyDescent="0.35">
      <c r="E236" t="s">
        <v>105</v>
      </c>
      <c r="W236" t="s">
        <v>106</v>
      </c>
      <c r="X236">
        <v>190</v>
      </c>
      <c r="Y236" t="s">
        <v>32</v>
      </c>
    </row>
    <row r="237" spans="5:25" hidden="1" x14ac:dyDescent="0.35">
      <c r="E237" t="s">
        <v>105</v>
      </c>
      <c r="W237" t="s">
        <v>106</v>
      </c>
      <c r="X237">
        <v>190</v>
      </c>
      <c r="Y237" t="s">
        <v>32</v>
      </c>
    </row>
    <row r="238" spans="5:25" hidden="1" x14ac:dyDescent="0.35">
      <c r="E238" t="s">
        <v>105</v>
      </c>
      <c r="W238" t="s">
        <v>106</v>
      </c>
      <c r="X238">
        <v>190</v>
      </c>
      <c r="Y238" t="s">
        <v>32</v>
      </c>
    </row>
    <row r="239" spans="5:25" hidden="1" x14ac:dyDescent="0.35">
      <c r="E239" t="s">
        <v>105</v>
      </c>
      <c r="W239" t="s">
        <v>106</v>
      </c>
      <c r="X239">
        <v>190</v>
      </c>
      <c r="Y239" t="s">
        <v>32</v>
      </c>
    </row>
    <row r="240" spans="5:25" hidden="1" x14ac:dyDescent="0.35">
      <c r="E240" t="s">
        <v>105</v>
      </c>
      <c r="W240" t="s">
        <v>106</v>
      </c>
      <c r="X240">
        <v>190</v>
      </c>
      <c r="Y240" t="s">
        <v>32</v>
      </c>
    </row>
    <row r="241" spans="5:25" hidden="1" x14ac:dyDescent="0.35">
      <c r="E241" t="s">
        <v>105</v>
      </c>
      <c r="W241" t="s">
        <v>106</v>
      </c>
      <c r="X241">
        <v>190</v>
      </c>
      <c r="Y241" t="s">
        <v>32</v>
      </c>
    </row>
    <row r="242" spans="5:25" hidden="1" x14ac:dyDescent="0.35">
      <c r="E242" t="s">
        <v>105</v>
      </c>
      <c r="W242" t="s">
        <v>106</v>
      </c>
      <c r="X242">
        <v>190</v>
      </c>
      <c r="Y242" t="s">
        <v>32</v>
      </c>
    </row>
    <row r="243" spans="5:25" hidden="1" x14ac:dyDescent="0.35">
      <c r="E243" t="s">
        <v>105</v>
      </c>
      <c r="W243" t="s">
        <v>106</v>
      </c>
      <c r="X243">
        <v>190</v>
      </c>
      <c r="Y243" t="s">
        <v>32</v>
      </c>
    </row>
    <row r="244" spans="5:25" hidden="1" x14ac:dyDescent="0.35">
      <c r="E244" t="s">
        <v>105</v>
      </c>
      <c r="W244" t="s">
        <v>106</v>
      </c>
      <c r="X244">
        <v>190</v>
      </c>
      <c r="Y244" t="s">
        <v>32</v>
      </c>
    </row>
    <row r="245" spans="5:25" hidden="1" x14ac:dyDescent="0.35">
      <c r="E245" t="s">
        <v>105</v>
      </c>
      <c r="W245" t="s">
        <v>106</v>
      </c>
      <c r="X245">
        <v>190</v>
      </c>
      <c r="Y245" t="s">
        <v>32</v>
      </c>
    </row>
    <row r="246" spans="5:25" hidden="1" x14ac:dyDescent="0.35">
      <c r="E246" t="s">
        <v>105</v>
      </c>
      <c r="W246" t="s">
        <v>106</v>
      </c>
      <c r="X246">
        <v>190</v>
      </c>
      <c r="Y246" t="s">
        <v>32</v>
      </c>
    </row>
    <row r="247" spans="5:25" hidden="1" x14ac:dyDescent="0.35">
      <c r="E247" t="s">
        <v>105</v>
      </c>
      <c r="W247" t="s">
        <v>106</v>
      </c>
      <c r="X247">
        <v>190</v>
      </c>
      <c r="Y247" t="s">
        <v>32</v>
      </c>
    </row>
    <row r="248" spans="5:25" hidden="1" x14ac:dyDescent="0.35">
      <c r="E248" t="s">
        <v>105</v>
      </c>
      <c r="W248" t="s">
        <v>106</v>
      </c>
      <c r="X248">
        <v>190</v>
      </c>
      <c r="Y248" t="s">
        <v>32</v>
      </c>
    </row>
    <row r="249" spans="5:25" hidden="1" x14ac:dyDescent="0.35">
      <c r="E249" t="s">
        <v>105</v>
      </c>
      <c r="W249" t="s">
        <v>106</v>
      </c>
      <c r="X249">
        <v>190</v>
      </c>
      <c r="Y249" t="s">
        <v>32</v>
      </c>
    </row>
    <row r="250" spans="5:25" hidden="1" x14ac:dyDescent="0.35">
      <c r="E250" t="s">
        <v>105</v>
      </c>
      <c r="W250" t="s">
        <v>106</v>
      </c>
      <c r="X250">
        <v>190</v>
      </c>
      <c r="Y250" t="s">
        <v>32</v>
      </c>
    </row>
    <row r="251" spans="5:25" hidden="1" x14ac:dyDescent="0.35">
      <c r="E251" t="s">
        <v>105</v>
      </c>
      <c r="W251" t="s">
        <v>106</v>
      </c>
      <c r="X251">
        <v>190</v>
      </c>
      <c r="Y251" t="s">
        <v>32</v>
      </c>
    </row>
    <row r="252" spans="5:25" hidden="1" x14ac:dyDescent="0.35">
      <c r="E252" t="s">
        <v>105</v>
      </c>
      <c r="W252" t="s">
        <v>106</v>
      </c>
      <c r="X252">
        <v>190</v>
      </c>
      <c r="Y252" t="s">
        <v>32</v>
      </c>
    </row>
    <row r="253" spans="5:25" hidden="1" x14ac:dyDescent="0.35">
      <c r="E253" t="s">
        <v>105</v>
      </c>
      <c r="W253" t="s">
        <v>106</v>
      </c>
      <c r="X253">
        <v>190</v>
      </c>
      <c r="Y253" t="s">
        <v>32</v>
      </c>
    </row>
    <row r="254" spans="5:25" hidden="1" x14ac:dyDescent="0.35">
      <c r="E254" t="s">
        <v>105</v>
      </c>
      <c r="W254" t="s">
        <v>106</v>
      </c>
      <c r="X254">
        <v>190</v>
      </c>
      <c r="Y254" t="s">
        <v>32</v>
      </c>
    </row>
    <row r="255" spans="5:25" hidden="1" x14ac:dyDescent="0.35">
      <c r="E255" t="s">
        <v>105</v>
      </c>
      <c r="W255" t="s">
        <v>106</v>
      </c>
      <c r="X255">
        <v>190</v>
      </c>
      <c r="Y255" t="s">
        <v>32</v>
      </c>
    </row>
    <row r="256" spans="5:25" hidden="1" x14ac:dyDescent="0.35">
      <c r="E256" t="s">
        <v>105</v>
      </c>
      <c r="W256" t="s">
        <v>106</v>
      </c>
      <c r="X256">
        <v>190</v>
      </c>
      <c r="Y256" t="s">
        <v>32</v>
      </c>
    </row>
    <row r="257" spans="5:25" hidden="1" x14ac:dyDescent="0.35">
      <c r="E257" t="s">
        <v>105</v>
      </c>
      <c r="W257" t="s">
        <v>106</v>
      </c>
      <c r="X257">
        <v>190</v>
      </c>
      <c r="Y257" t="s">
        <v>32</v>
      </c>
    </row>
    <row r="258" spans="5:25" hidden="1" x14ac:dyDescent="0.35">
      <c r="E258" t="s">
        <v>105</v>
      </c>
      <c r="W258" t="s">
        <v>106</v>
      </c>
      <c r="X258">
        <v>190</v>
      </c>
      <c r="Y258" t="s">
        <v>32</v>
      </c>
    </row>
    <row r="259" spans="5:25" hidden="1" x14ac:dyDescent="0.35">
      <c r="E259" t="s">
        <v>105</v>
      </c>
      <c r="W259" t="s">
        <v>106</v>
      </c>
      <c r="X259">
        <v>190</v>
      </c>
      <c r="Y259" t="s">
        <v>32</v>
      </c>
    </row>
    <row r="260" spans="5:25" hidden="1" x14ac:dyDescent="0.35">
      <c r="E260" t="s">
        <v>105</v>
      </c>
      <c r="W260" t="s">
        <v>106</v>
      </c>
      <c r="X260">
        <v>190</v>
      </c>
      <c r="Y260" t="s">
        <v>32</v>
      </c>
    </row>
    <row r="261" spans="5:25" hidden="1" x14ac:dyDescent="0.35">
      <c r="E261" t="s">
        <v>105</v>
      </c>
      <c r="W261" t="s">
        <v>106</v>
      </c>
      <c r="X261">
        <v>190</v>
      </c>
      <c r="Y261" t="s">
        <v>32</v>
      </c>
    </row>
  </sheetData>
  <phoneticPr fontId="2" type="noConversion"/>
  <conditionalFormatting sqref="A262:Y1048576">
    <cfRule type="expression" dxfId="26" priority="1">
      <formula>$T262&gt;1</formula>
    </cfRule>
  </conditionalFormatting>
  <conditionalFormatting sqref="S262:S1048576">
    <cfRule type="duplicateValues" dxfId="25" priority="3"/>
  </conditionalFormatting>
  <conditionalFormatting sqref="Z1048353:AB1048576">
    <cfRule type="expression" dxfId="24" priority="4">
      <formula>$T270&gt;1</formula>
    </cfRule>
  </conditionalFormatting>
  <conditionalFormatting sqref="Z42:AB1048136">
    <cfRule type="expression" dxfId="23" priority="104">
      <formula>$T530&gt;1</formula>
    </cfRule>
  </conditionalFormatting>
  <conditionalFormatting sqref="Z1048234:AB1048269">
    <cfRule type="expression" dxfId="22" priority="213">
      <formula>#REF!&gt;1</formula>
    </cfRule>
  </conditionalFormatting>
  <conditionalFormatting sqref="Z1048270:AB1048290 Z1048137:AB1048233">
    <cfRule type="expression" dxfId="21" priority="539">
      <formula>#REF!&gt;1</formula>
    </cfRule>
  </conditionalFormatting>
  <conditionalFormatting sqref="Z1048291:AB1048327">
    <cfRule type="expression" dxfId="20" priority="593">
      <formula>#REF!&gt;1</formula>
    </cfRule>
  </conditionalFormatting>
  <conditionalFormatting sqref="Z1048328:AB1048352">
    <cfRule type="expression" dxfId="19" priority="600">
      <formula>#REF!&gt;1</formula>
    </cfRule>
  </conditionalFormatting>
  <conditionalFormatting sqref="A2:Y261">
    <cfRule type="expression" dxfId="18" priority="610">
      <formula>$X2&gt;1</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0C5D2-6CEF-4994-9A6B-7A6ED2E61828}">
  <sheetPr codeName="Sheet3"/>
  <dimension ref="A1:E27"/>
  <sheetViews>
    <sheetView topLeftCell="G1" zoomScaleNormal="100" workbookViewId="0">
      <selection activeCell="C23" sqref="C23"/>
    </sheetView>
  </sheetViews>
  <sheetFormatPr defaultRowHeight="14.5" x14ac:dyDescent="0.35"/>
  <cols>
    <col min="2" max="2" width="42.90625" bestFit="1" customWidth="1"/>
  </cols>
  <sheetData>
    <row r="1" spans="1:5" x14ac:dyDescent="0.35">
      <c r="B1" t="s">
        <v>63</v>
      </c>
      <c r="C1" t="s">
        <v>417</v>
      </c>
    </row>
    <row r="3" spans="1:5" x14ac:dyDescent="0.35">
      <c r="C3" s="1" t="s">
        <v>33</v>
      </c>
      <c r="D3" s="1" t="s">
        <v>34</v>
      </c>
    </row>
    <row r="4" spans="1:5" x14ac:dyDescent="0.35">
      <c r="A4" s="7" t="s">
        <v>35</v>
      </c>
      <c r="B4" s="2" t="s">
        <v>36</v>
      </c>
      <c r="C4" s="3" cm="1">
        <f t="array" ref="C4">COUNTA(_xlfn.UNIQUE(_xlfn._xlws.FILTER(Query!F:F, Query!O:O=TRUE)))</f>
        <v>1</v>
      </c>
      <c r="D4" s="3">
        <f>COUNTA(_xlfn.UNIQUE(MainQuery[Function]))</f>
        <v>7</v>
      </c>
      <c r="E4" s="4"/>
    </row>
    <row r="5" spans="1:5" x14ac:dyDescent="0.35">
      <c r="A5" s="7" t="s">
        <v>26</v>
      </c>
      <c r="B5" s="2" t="s">
        <v>37</v>
      </c>
      <c r="C5" s="2">
        <f>COUNTIF(Query!O:O,"TRUE")</f>
        <v>0</v>
      </c>
      <c r="D5" s="3">
        <f>COUNTA(Query!H:H)-1</f>
        <v>70</v>
      </c>
      <c r="E5" s="4"/>
    </row>
    <row r="6" spans="1:5" x14ac:dyDescent="0.35">
      <c r="A6" s="7" t="s">
        <v>23</v>
      </c>
      <c r="B6" s="2" t="s">
        <v>38</v>
      </c>
      <c r="C6" s="2">
        <f>COUNTIFS(Query!K:K,"OC",Query!O:O,"TRUE")</f>
        <v>0</v>
      </c>
      <c r="D6" s="3">
        <f>COUNTIF(Query!K:K,"OC")</f>
        <v>18</v>
      </c>
      <c r="E6" s="4"/>
    </row>
    <row r="7" spans="1:5" x14ac:dyDescent="0.35">
      <c r="A7" s="7" t="s">
        <v>39</v>
      </c>
      <c r="B7" s="2" t="s">
        <v>40</v>
      </c>
      <c r="C7" s="2">
        <f>COUNTIFS(Query!K:K,"SR",Query!O:O,"TRUE")</f>
        <v>0</v>
      </c>
      <c r="D7" s="3">
        <f>COUNTIF(Query!K:K,"SR")</f>
        <v>8</v>
      </c>
      <c r="E7" s="4"/>
    </row>
    <row r="8" spans="1:5" x14ac:dyDescent="0.35">
      <c r="A8" s="7" t="s">
        <v>24</v>
      </c>
      <c r="B8" s="2" t="s">
        <v>41</v>
      </c>
      <c r="C8" s="2">
        <f>COUNTIFS(Query!K:K,"SD",Query!O:O,"TRUE")</f>
        <v>0</v>
      </c>
      <c r="D8" s="3">
        <f>COUNTIF(Query!K:K,"SD")</f>
        <v>0</v>
      </c>
      <c r="E8" s="4"/>
    </row>
    <row r="9" spans="1:5" x14ac:dyDescent="0.35">
      <c r="A9" s="7" t="s">
        <v>26</v>
      </c>
      <c r="B9" s="2" t="s">
        <v>42</v>
      </c>
      <c r="C9" s="2">
        <f>COUNTIFS(Query!K:K,"FF",Query!O:O,"TRUE")</f>
        <v>0</v>
      </c>
      <c r="D9" s="3">
        <f>COUNTIF(Query!K:K,"FF")</f>
        <v>0</v>
      </c>
      <c r="E9" s="4"/>
    </row>
    <row r="10" spans="1:5" x14ac:dyDescent="0.35">
      <c r="A10" s="7" t="s">
        <v>27</v>
      </c>
      <c r="B10" s="2" t="s">
        <v>43</v>
      </c>
      <c r="C10" s="2">
        <f>COUNTIFS(Query!K:K,"NSM",Query!O:O,"TRUE")</f>
        <v>0</v>
      </c>
      <c r="D10" s="3">
        <f>COUNTIF(Query!K:K,"NSM")</f>
        <v>35</v>
      </c>
      <c r="E10" s="4"/>
    </row>
    <row r="11" spans="1:5" x14ac:dyDescent="0.35">
      <c r="A11" s="7" t="s">
        <v>44</v>
      </c>
      <c r="B11" s="2" t="s">
        <v>45</v>
      </c>
      <c r="C11" s="2">
        <f>COUNTIFS(Query!K:K,"OCSR",Query!O:O,"TRUE")</f>
        <v>0</v>
      </c>
      <c r="D11" s="3">
        <f>COUNTIF(Query!K:K,"OCSR")</f>
        <v>0</v>
      </c>
      <c r="E11" s="4"/>
    </row>
    <row r="12" spans="1:5" x14ac:dyDescent="0.35">
      <c r="A12" s="7" t="s">
        <v>46</v>
      </c>
      <c r="B12" s="2" t="s">
        <v>47</v>
      </c>
      <c r="C12" s="2">
        <f>COUNTIFS(Query!K:K,"OCSD",Query!O:O,"TRUE")</f>
        <v>0</v>
      </c>
      <c r="D12" s="3">
        <f>COUNTIF(Query!K:K,"OCSD")</f>
        <v>0</v>
      </c>
      <c r="E12" s="4"/>
    </row>
    <row r="13" spans="1:5" x14ac:dyDescent="0.35">
      <c r="A13" s="7" t="s">
        <v>21</v>
      </c>
      <c r="B13" s="2" t="s">
        <v>48</v>
      </c>
      <c r="C13" s="2">
        <f>COUNTIFS(Query!K:K,"R-PRO",Query!O:O,"TRUE")</f>
        <v>0</v>
      </c>
      <c r="D13" s="3">
        <f>COUNTIF(Query!K:K,"R-PRO")</f>
        <v>0</v>
      </c>
      <c r="E13" s="4"/>
    </row>
    <row r="14" spans="1:5" x14ac:dyDescent="0.35">
      <c r="A14" s="7" t="s">
        <v>25</v>
      </c>
      <c r="B14" s="2" t="s">
        <v>49</v>
      </c>
      <c r="C14" s="2">
        <f>COUNTIFS(Query!K:K,"R-SPARE",Query!O:O,"TRUE")</f>
        <v>0</v>
      </c>
      <c r="D14" s="3">
        <f>COUNTIF(Query!K:K,"R-SPARE")</f>
        <v>8</v>
      </c>
      <c r="E14" s="4"/>
    </row>
    <row r="15" spans="1:5" x14ac:dyDescent="0.35">
      <c r="A15" s="7" t="s">
        <v>59</v>
      </c>
      <c r="B15" s="2" t="s">
        <v>50</v>
      </c>
      <c r="C15" s="2">
        <f>COUNTIFS(Query!K:K,"R-TRN",Query!O:O,"TRUE")</f>
        <v>0</v>
      </c>
      <c r="D15" s="3">
        <f>COUNTIF(Query!K:K,"R-TRN")</f>
        <v>0</v>
      </c>
      <c r="E15" s="4"/>
    </row>
    <row r="16" spans="1:5" x14ac:dyDescent="0.35">
      <c r="A16" s="7" t="s">
        <v>58</v>
      </c>
      <c r="B16" s="2" t="s">
        <v>51</v>
      </c>
      <c r="C16" s="2">
        <f>COUNTIFS(Query!K:K,"R-HRD",Query!O:O,"TRUE")</f>
        <v>0</v>
      </c>
      <c r="D16" s="3">
        <f>COUNTIF(Query!K:K,"R-HRD")</f>
        <v>0</v>
      </c>
      <c r="E16" s="4"/>
    </row>
    <row r="17" spans="1:5" ht="29" x14ac:dyDescent="0.35">
      <c r="A17" s="7" t="s">
        <v>60</v>
      </c>
      <c r="B17" s="2" t="s">
        <v>52</v>
      </c>
      <c r="C17" s="2">
        <f>COUNTIFS(Query!K:K,"Other Function",Query!O:O,"TRUE")</f>
        <v>0</v>
      </c>
      <c r="D17" s="3">
        <f>COUNTIF(Query!K:K,"Other Function")</f>
        <v>0</v>
      </c>
      <c r="E17" s="4"/>
    </row>
    <row r="18" spans="1:5" x14ac:dyDescent="0.35">
      <c r="A18" s="7" t="s">
        <v>22</v>
      </c>
      <c r="B18" s="2" t="s">
        <v>53</v>
      </c>
      <c r="C18" s="2">
        <f>COUNTIFS(Query!K:K,"AS",Query!O:O,"TRUE")</f>
        <v>0</v>
      </c>
      <c r="D18" s="3">
        <f>COUNTIF(Query!K:K,"AS")</f>
        <v>0</v>
      </c>
      <c r="E18" s="4"/>
    </row>
    <row r="19" spans="1:5" x14ac:dyDescent="0.35">
      <c r="A19" s="7" t="s">
        <v>61</v>
      </c>
      <c r="B19" s="2" t="s">
        <v>54</v>
      </c>
      <c r="C19" s="2">
        <f>COUNTIFS(Query!K:K,"N/A",Query!O:O,"TRUE")</f>
        <v>0</v>
      </c>
      <c r="D19" s="3">
        <f>COUNTIF(Query!K:K,"N/A")</f>
        <v>1</v>
      </c>
      <c r="E19" s="4"/>
    </row>
    <row r="20" spans="1:5" x14ac:dyDescent="0.35">
      <c r="B20" t="s">
        <v>62</v>
      </c>
      <c r="C20" s="4">
        <f>SUM(C6:C19)</f>
        <v>0</v>
      </c>
      <c r="D20" s="4">
        <f>SUM(D6:D19)</f>
        <v>70</v>
      </c>
    </row>
    <row r="22" spans="1:5" ht="29" x14ac:dyDescent="0.35">
      <c r="C22" s="5" t="s">
        <v>55</v>
      </c>
      <c r="D22" s="5" t="s">
        <v>56</v>
      </c>
      <c r="E22" s="5" t="s">
        <v>57</v>
      </c>
    </row>
    <row r="23" spans="1:5" x14ac:dyDescent="0.35">
      <c r="B23" s="10" t="s">
        <v>144</v>
      </c>
      <c r="C23" s="6">
        <f>COUNTIF(Query!N:N, B23)</f>
        <v>55</v>
      </c>
      <c r="D23" s="6">
        <f>COUNTIFS(Query!N:N, B23, Query!O:O, TRUE)</f>
        <v>0</v>
      </c>
      <c r="E23" s="6">
        <f>C23-D23</f>
        <v>55</v>
      </c>
    </row>
    <row r="24" spans="1:5" x14ac:dyDescent="0.35">
      <c r="B24" s="10" t="s">
        <v>163</v>
      </c>
      <c r="C24" s="6">
        <f>COUNTIF(Query!N:N, B24)</f>
        <v>9</v>
      </c>
      <c r="D24" s="6">
        <f>COUNTIFS(Query!N:N, B24, Query!O:O, TRUE)</f>
        <v>0</v>
      </c>
      <c r="E24" s="6">
        <f t="shared" ref="E24:E27" si="0">C24-D24</f>
        <v>9</v>
      </c>
    </row>
    <row r="25" spans="1:5" x14ac:dyDescent="0.35">
      <c r="B25" s="10" t="s">
        <v>158</v>
      </c>
      <c r="C25" s="6">
        <f>COUNTIF(Query!N:N, B25)</f>
        <v>3</v>
      </c>
      <c r="D25" s="6">
        <f>COUNTIFS(Query!N:N, B25, Query!O:O, TRUE)</f>
        <v>0</v>
      </c>
      <c r="E25" s="6">
        <f t="shared" si="0"/>
        <v>3</v>
      </c>
    </row>
    <row r="26" spans="1:5" x14ac:dyDescent="0.35">
      <c r="B26" s="10" t="s">
        <v>188</v>
      </c>
      <c r="C26" s="6">
        <f>COUNTIF(Query!N:N, B26)</f>
        <v>1</v>
      </c>
      <c r="D26" s="6">
        <f>COUNTIFS(Query!N:N, B26, Query!O:O, TRUE)</f>
        <v>0</v>
      </c>
      <c r="E26" s="6">
        <f t="shared" si="0"/>
        <v>1</v>
      </c>
    </row>
    <row r="27" spans="1:5" x14ac:dyDescent="0.35">
      <c r="C27" s="6">
        <f>COUNTIF(Query!N:N, B27)</f>
        <v>0</v>
      </c>
      <c r="D27" s="6">
        <f>COUNTIFS(Query!N:N, B27, Query!O:O, TRUE)</f>
        <v>0</v>
      </c>
      <c r="E27" s="6">
        <f t="shared" si="0"/>
        <v>0</v>
      </c>
    </row>
  </sheetData>
  <conditionalFormatting sqref="B23:B26">
    <cfRule type="expression" dxfId="1" priority="1">
      <formula>$X23&gt;1</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001B-8FC4-4361-9205-E1EEC02A22D4}">
  <dimension ref="A1:P60"/>
  <sheetViews>
    <sheetView topLeftCell="D1" zoomScale="90" zoomScaleNormal="80" workbookViewId="0">
      <selection activeCell="M22" sqref="M22"/>
    </sheetView>
  </sheetViews>
  <sheetFormatPr defaultRowHeight="14.5" x14ac:dyDescent="0.35"/>
  <cols>
    <col min="1" max="1" width="3.81640625" style="19" bestFit="1" customWidth="1"/>
    <col min="2" max="2" width="7.26953125" style="19" bestFit="1" customWidth="1"/>
    <col min="3" max="3" width="38.7265625" style="19" customWidth="1"/>
    <col min="4" max="4" width="29.54296875" style="19" customWidth="1"/>
    <col min="5" max="5" width="11.54296875" style="19" bestFit="1" customWidth="1"/>
    <col min="6" max="6" width="6.7265625" style="19" bestFit="1" customWidth="1"/>
    <col min="7" max="7" width="14.81640625" style="19" hidden="1" customWidth="1"/>
    <col min="8" max="8" width="10.26953125" style="19" hidden="1" customWidth="1"/>
    <col min="9" max="9" width="6.26953125" style="18" customWidth="1"/>
    <col min="10" max="10" width="3.81640625" style="19" bestFit="1" customWidth="1"/>
    <col min="11" max="11" width="6.26953125" style="19" customWidth="1"/>
    <col min="12" max="12" width="30.7265625" style="18" customWidth="1"/>
    <col min="13" max="13" width="47" style="18" customWidth="1"/>
    <col min="14" max="14" width="11.54296875" style="18" bestFit="1" customWidth="1"/>
    <col min="15" max="15" width="21.26953125" style="19" bestFit="1" customWidth="1"/>
    <col min="16" max="16" width="20.26953125" style="18" bestFit="1" customWidth="1"/>
    <col min="17" max="16384" width="8.7265625" style="18"/>
  </cols>
  <sheetData>
    <row r="1" spans="1:16" ht="18.5" x14ac:dyDescent="0.45">
      <c r="A1" s="47" t="s">
        <v>113</v>
      </c>
      <c r="B1" s="47"/>
      <c r="C1" s="47"/>
      <c r="D1" s="47"/>
      <c r="E1" s="47"/>
      <c r="F1" s="47"/>
      <c r="G1" s="47"/>
      <c r="H1" s="47"/>
      <c r="I1" s="17"/>
      <c r="J1" s="48" t="s">
        <v>114</v>
      </c>
      <c r="K1" s="48"/>
      <c r="L1" s="48"/>
      <c r="M1" s="48"/>
      <c r="N1" s="48"/>
      <c r="O1" s="48"/>
      <c r="P1" s="48"/>
    </row>
    <row r="2" spans="1:16" x14ac:dyDescent="0.35">
      <c r="I2" s="20"/>
    </row>
    <row r="3" spans="1:16" ht="16" x14ac:dyDescent="0.4">
      <c r="A3" s="21" t="s">
        <v>107</v>
      </c>
      <c r="B3" s="21" t="s">
        <v>108</v>
      </c>
      <c r="C3" s="21" t="s">
        <v>37</v>
      </c>
      <c r="D3" s="21" t="s">
        <v>109</v>
      </c>
      <c r="E3" s="21" t="s">
        <v>14</v>
      </c>
      <c r="F3" s="21" t="s">
        <v>64</v>
      </c>
      <c r="G3" s="22" t="s">
        <v>110</v>
      </c>
      <c r="H3" s="22" t="s">
        <v>65</v>
      </c>
      <c r="I3" s="20"/>
      <c r="J3" s="23" t="s">
        <v>107</v>
      </c>
      <c r="K3" s="21" t="s">
        <v>108</v>
      </c>
      <c r="L3" s="24" t="s">
        <v>37</v>
      </c>
      <c r="M3" s="24" t="s">
        <v>109</v>
      </c>
      <c r="N3" s="24" t="s">
        <v>14</v>
      </c>
      <c r="O3" s="21" t="s">
        <v>64</v>
      </c>
      <c r="P3" s="24" t="s">
        <v>65</v>
      </c>
    </row>
    <row r="4" spans="1:16" x14ac:dyDescent="0.35">
      <c r="A4" s="25">
        <v>1</v>
      </c>
      <c r="B4" s="26"/>
      <c r="C4" s="27"/>
      <c r="D4" s="27"/>
      <c r="E4" s="26"/>
      <c r="F4" s="26"/>
      <c r="G4" s="28"/>
      <c r="H4" s="28"/>
      <c r="I4" s="29"/>
      <c r="J4" s="30"/>
      <c r="K4" s="26"/>
      <c r="L4" s="27"/>
      <c r="M4" s="27"/>
      <c r="N4" s="26"/>
      <c r="O4" s="26"/>
      <c r="P4" s="26"/>
    </row>
    <row r="5" spans="1:16" x14ac:dyDescent="0.35">
      <c r="A5" s="25">
        <v>2</v>
      </c>
      <c r="B5" s="26"/>
      <c r="C5" s="27"/>
      <c r="D5" s="27"/>
      <c r="E5" s="26"/>
      <c r="F5" s="26"/>
      <c r="G5" s="28"/>
      <c r="H5" s="28"/>
      <c r="I5" s="29"/>
      <c r="J5" s="30"/>
      <c r="K5" s="26"/>
      <c r="L5" s="27"/>
      <c r="M5" s="27"/>
      <c r="N5" s="26"/>
      <c r="O5" s="26"/>
      <c r="P5" s="26"/>
    </row>
    <row r="6" spans="1:16" x14ac:dyDescent="0.35">
      <c r="A6" s="25">
        <v>3</v>
      </c>
      <c r="B6" s="26"/>
      <c r="C6" s="27"/>
      <c r="D6" s="27"/>
      <c r="E6" s="26"/>
      <c r="F6" s="26"/>
      <c r="G6" s="28"/>
      <c r="H6" s="28"/>
      <c r="I6" s="29"/>
      <c r="J6" s="30"/>
      <c r="K6" s="26"/>
      <c r="L6" s="27"/>
      <c r="M6" s="27"/>
      <c r="N6" s="26"/>
      <c r="O6" s="26"/>
      <c r="P6" s="26"/>
    </row>
    <row r="7" spans="1:16" x14ac:dyDescent="0.35">
      <c r="A7" s="25">
        <v>4</v>
      </c>
      <c r="B7" s="26"/>
      <c r="C7" s="27"/>
      <c r="D7" s="27"/>
      <c r="E7" s="26"/>
      <c r="F7" s="26"/>
      <c r="G7" s="28"/>
      <c r="H7" s="28"/>
      <c r="I7" s="29"/>
      <c r="J7" s="30"/>
      <c r="K7" s="26"/>
      <c r="L7" s="27"/>
      <c r="M7" s="27"/>
      <c r="N7" s="26"/>
      <c r="O7" s="26"/>
      <c r="P7" s="26"/>
    </row>
    <row r="8" spans="1:16" x14ac:dyDescent="0.35">
      <c r="A8" s="25">
        <v>5</v>
      </c>
      <c r="B8" s="26"/>
      <c r="C8" s="27"/>
      <c r="D8" s="27"/>
      <c r="E8" s="26"/>
      <c r="F8" s="26"/>
      <c r="G8" s="28"/>
      <c r="H8" s="28"/>
      <c r="I8" s="29"/>
      <c r="J8" s="30"/>
      <c r="K8" s="26"/>
      <c r="L8" s="27"/>
      <c r="M8" s="27"/>
      <c r="N8" s="26"/>
      <c r="O8" s="26"/>
      <c r="P8" s="26"/>
    </row>
    <row r="9" spans="1:16" x14ac:dyDescent="0.35">
      <c r="A9" s="25">
        <v>6</v>
      </c>
      <c r="B9" s="26"/>
      <c r="C9" s="27"/>
      <c r="D9" s="27"/>
      <c r="E9" s="26"/>
      <c r="F9" s="26"/>
      <c r="G9" s="28"/>
      <c r="H9" s="28"/>
      <c r="I9" s="29"/>
      <c r="J9" s="30"/>
      <c r="K9" s="26"/>
      <c r="L9" s="27"/>
      <c r="M9" s="27"/>
      <c r="N9" s="26"/>
      <c r="O9" s="26"/>
      <c r="P9" s="26"/>
    </row>
    <row r="10" spans="1:16" x14ac:dyDescent="0.35">
      <c r="A10" s="25">
        <v>7</v>
      </c>
      <c r="B10" s="26"/>
      <c r="C10" s="27"/>
      <c r="D10" s="27"/>
      <c r="E10" s="26"/>
      <c r="F10" s="26"/>
      <c r="G10" s="28"/>
      <c r="H10" s="28"/>
      <c r="I10" s="29"/>
      <c r="J10" s="30"/>
      <c r="K10" s="26"/>
      <c r="L10" s="27"/>
      <c r="M10" s="27"/>
      <c r="N10" s="26"/>
      <c r="O10" s="26"/>
      <c r="P10" s="26"/>
    </row>
    <row r="11" spans="1:16" x14ac:dyDescent="0.35">
      <c r="A11" s="25">
        <v>8</v>
      </c>
      <c r="B11" s="26"/>
      <c r="C11" s="27"/>
      <c r="D11" s="27"/>
      <c r="E11" s="26"/>
      <c r="F11" s="26"/>
      <c r="G11" s="28"/>
      <c r="H11" s="28"/>
      <c r="I11" s="29"/>
      <c r="J11" s="30"/>
      <c r="K11" s="26"/>
      <c r="L11" s="27"/>
      <c r="M11" s="27"/>
      <c r="N11" s="26"/>
      <c r="O11" s="26"/>
      <c r="P11" s="26"/>
    </row>
    <row r="12" spans="1:16" x14ac:dyDescent="0.35">
      <c r="A12" s="25">
        <v>9</v>
      </c>
      <c r="B12" s="26"/>
      <c r="C12" s="27"/>
      <c r="D12" s="27"/>
      <c r="E12" s="26"/>
      <c r="F12" s="26"/>
      <c r="G12" s="28"/>
      <c r="H12" s="28"/>
      <c r="I12" s="29"/>
      <c r="J12" s="30"/>
      <c r="K12" s="26"/>
      <c r="L12" s="27"/>
      <c r="M12" s="27"/>
      <c r="N12" s="26"/>
      <c r="O12" s="26"/>
      <c r="P12" s="26"/>
    </row>
    <row r="13" spans="1:16" x14ac:dyDescent="0.35">
      <c r="A13" s="25">
        <v>10</v>
      </c>
      <c r="B13" s="26"/>
      <c r="C13" s="27"/>
      <c r="D13" s="27"/>
      <c r="E13" s="26"/>
      <c r="F13" s="26"/>
      <c r="G13" s="28"/>
      <c r="H13" s="28"/>
      <c r="I13" s="29"/>
      <c r="J13" s="30"/>
      <c r="K13" s="26"/>
      <c r="L13" s="27"/>
      <c r="M13" s="27"/>
      <c r="N13" s="26"/>
      <c r="O13" s="26"/>
      <c r="P13" s="26"/>
    </row>
    <row r="14" spans="1:16" x14ac:dyDescent="0.35">
      <c r="A14" s="25">
        <v>11</v>
      </c>
      <c r="B14" s="26"/>
      <c r="C14" s="27"/>
      <c r="D14" s="27"/>
      <c r="E14" s="26"/>
      <c r="F14" s="26"/>
      <c r="G14" s="28"/>
      <c r="H14" s="28"/>
      <c r="I14" s="29"/>
      <c r="J14" s="30"/>
      <c r="K14" s="26"/>
      <c r="L14" s="27"/>
      <c r="M14" s="27"/>
      <c r="N14" s="26"/>
      <c r="O14" s="26"/>
      <c r="P14" s="26"/>
    </row>
    <row r="15" spans="1:16" x14ac:dyDescent="0.35">
      <c r="A15" s="25">
        <v>12</v>
      </c>
      <c r="B15" s="26"/>
      <c r="C15" s="27"/>
      <c r="D15" s="27"/>
      <c r="E15" s="26"/>
      <c r="F15" s="26"/>
      <c r="G15" s="28"/>
      <c r="H15" s="28"/>
      <c r="I15" s="29"/>
      <c r="J15" s="30"/>
      <c r="K15" s="26"/>
      <c r="L15" s="27"/>
      <c r="M15" s="27"/>
      <c r="N15" s="26"/>
      <c r="O15" s="26"/>
      <c r="P15" s="26"/>
    </row>
    <row r="16" spans="1:16" x14ac:dyDescent="0.35">
      <c r="A16" s="25">
        <v>13</v>
      </c>
      <c r="B16" s="26"/>
      <c r="C16" s="27"/>
      <c r="D16" s="27"/>
      <c r="E16" s="26"/>
      <c r="F16" s="26"/>
      <c r="G16" s="28"/>
      <c r="H16" s="28"/>
      <c r="I16" s="29"/>
      <c r="J16" s="30"/>
      <c r="K16" s="26"/>
      <c r="L16" s="27"/>
      <c r="M16" s="27"/>
      <c r="N16" s="26"/>
      <c r="O16" s="26"/>
      <c r="P16" s="26"/>
    </row>
    <row r="17" spans="1:16" x14ac:dyDescent="0.35">
      <c r="A17" s="25">
        <v>14</v>
      </c>
      <c r="B17" s="26"/>
      <c r="C17" s="27"/>
      <c r="D17" s="27"/>
      <c r="E17" s="26"/>
      <c r="F17" s="26"/>
      <c r="G17" s="28"/>
      <c r="H17" s="28"/>
      <c r="I17" s="29"/>
      <c r="J17" s="30"/>
      <c r="K17" s="26"/>
      <c r="L17" s="27"/>
      <c r="M17" s="27"/>
      <c r="N17" s="26"/>
      <c r="O17" s="26"/>
      <c r="P17" s="26"/>
    </row>
    <row r="18" spans="1:16" x14ac:dyDescent="0.35">
      <c r="A18" s="25">
        <v>15</v>
      </c>
      <c r="B18" s="26"/>
      <c r="C18" s="27"/>
      <c r="D18" s="27"/>
      <c r="E18" s="26"/>
      <c r="F18" s="26"/>
      <c r="G18" s="28"/>
      <c r="H18" s="28"/>
      <c r="I18" s="29"/>
      <c r="J18" s="30"/>
      <c r="K18" s="26"/>
      <c r="L18" s="27"/>
      <c r="M18" s="27"/>
      <c r="N18" s="26"/>
      <c r="O18" s="26"/>
      <c r="P18" s="31"/>
    </row>
    <row r="19" spans="1:16" x14ac:dyDescent="0.35">
      <c r="A19" s="25">
        <v>16</v>
      </c>
      <c r="B19" s="26"/>
      <c r="C19" s="27"/>
      <c r="D19" s="27"/>
      <c r="E19" s="26"/>
      <c r="F19" s="26"/>
      <c r="G19" s="28"/>
      <c r="H19" s="28"/>
      <c r="I19" s="29"/>
      <c r="J19" s="30"/>
      <c r="K19" s="26"/>
      <c r="L19" s="27"/>
      <c r="M19" s="27"/>
      <c r="N19" s="26"/>
      <c r="O19" s="26"/>
      <c r="P19" s="26"/>
    </row>
    <row r="20" spans="1:16" x14ac:dyDescent="0.35">
      <c r="A20" s="25">
        <v>17</v>
      </c>
      <c r="B20" s="26"/>
      <c r="C20" s="27"/>
      <c r="D20" s="27"/>
      <c r="E20" s="26"/>
      <c r="F20" s="26"/>
      <c r="G20" s="28"/>
      <c r="H20" s="28"/>
      <c r="I20" s="29"/>
      <c r="J20" s="30"/>
      <c r="K20" s="26"/>
      <c r="L20" s="27"/>
      <c r="M20" s="27"/>
      <c r="N20" s="26"/>
      <c r="O20" s="26"/>
      <c r="P20" s="26"/>
    </row>
    <row r="21" spans="1:16" x14ac:dyDescent="0.35">
      <c r="A21" s="25">
        <v>18</v>
      </c>
      <c r="B21" s="26"/>
      <c r="C21" s="27"/>
      <c r="D21" s="27"/>
      <c r="E21" s="26"/>
      <c r="F21" s="26"/>
      <c r="G21" s="28"/>
      <c r="H21" s="28"/>
      <c r="I21" s="29"/>
      <c r="J21" s="30"/>
      <c r="K21" s="26"/>
      <c r="L21" s="27"/>
      <c r="M21" s="27"/>
      <c r="N21" s="26"/>
      <c r="O21" s="26"/>
      <c r="P21" s="26"/>
    </row>
    <row r="22" spans="1:16" x14ac:dyDescent="0.35">
      <c r="A22" s="25">
        <v>19</v>
      </c>
      <c r="B22" s="26"/>
      <c r="C22" s="27"/>
      <c r="D22" s="27"/>
      <c r="E22" s="26"/>
      <c r="F22" s="26"/>
      <c r="G22" s="28"/>
      <c r="H22" s="28"/>
      <c r="I22" s="29"/>
      <c r="J22" s="30"/>
      <c r="K22" s="26"/>
      <c r="L22" s="27"/>
      <c r="M22" s="27"/>
      <c r="N22" s="26"/>
      <c r="O22" s="26"/>
      <c r="P22" s="26"/>
    </row>
    <row r="23" spans="1:16" x14ac:dyDescent="0.35">
      <c r="A23" s="25">
        <v>20</v>
      </c>
      <c r="B23" s="26"/>
      <c r="C23" s="27"/>
      <c r="D23" s="27"/>
      <c r="E23" s="26"/>
      <c r="F23" s="26"/>
      <c r="G23" s="28"/>
      <c r="H23" s="28"/>
      <c r="I23" s="29"/>
      <c r="J23" s="30"/>
      <c r="K23" s="26"/>
      <c r="L23" s="27"/>
      <c r="M23" s="27"/>
      <c r="N23" s="26"/>
      <c r="O23" s="26"/>
      <c r="P23" s="26"/>
    </row>
    <row r="24" spans="1:16" x14ac:dyDescent="0.35">
      <c r="A24" s="25">
        <v>21</v>
      </c>
      <c r="B24" s="26"/>
      <c r="C24" s="27"/>
      <c r="D24" s="27"/>
      <c r="E24" s="26"/>
      <c r="F24" s="26"/>
      <c r="G24" s="28"/>
      <c r="H24" s="28"/>
      <c r="I24" s="29"/>
      <c r="J24" s="30"/>
      <c r="K24" s="26"/>
      <c r="L24" s="27"/>
      <c r="M24" s="27"/>
      <c r="N24" s="26"/>
      <c r="O24" s="26"/>
      <c r="P24" s="26"/>
    </row>
    <row r="25" spans="1:16" x14ac:dyDescent="0.35">
      <c r="A25" s="25">
        <v>22</v>
      </c>
      <c r="B25" s="26"/>
      <c r="C25" s="27"/>
      <c r="D25" s="27"/>
      <c r="E25" s="26"/>
      <c r="F25" s="26"/>
      <c r="G25" s="28"/>
      <c r="H25" s="28"/>
      <c r="I25" s="29"/>
      <c r="J25" s="30"/>
      <c r="K25" s="26"/>
      <c r="L25" s="27"/>
      <c r="M25" s="27"/>
      <c r="N25" s="26"/>
      <c r="O25" s="26"/>
      <c r="P25" s="31"/>
    </row>
    <row r="26" spans="1:16" x14ac:dyDescent="0.35">
      <c r="A26" s="25">
        <v>23</v>
      </c>
      <c r="B26" s="26"/>
      <c r="C26" s="27"/>
      <c r="D26" s="27"/>
      <c r="E26" s="26"/>
      <c r="F26" s="26"/>
      <c r="G26" s="28"/>
      <c r="H26" s="28"/>
      <c r="I26" s="29"/>
      <c r="J26" s="30"/>
      <c r="K26" s="26"/>
      <c r="L26" s="27"/>
      <c r="M26" s="27"/>
      <c r="N26" s="26"/>
      <c r="O26" s="26"/>
      <c r="P26" s="31"/>
    </row>
    <row r="27" spans="1:16" x14ac:dyDescent="0.35">
      <c r="A27" s="25">
        <v>24</v>
      </c>
      <c r="B27" s="26"/>
      <c r="C27" s="27"/>
      <c r="D27" s="27"/>
      <c r="E27" s="26"/>
      <c r="F27" s="26"/>
      <c r="G27" s="28"/>
      <c r="H27" s="28"/>
      <c r="I27" s="29"/>
      <c r="J27" s="30"/>
      <c r="K27" s="26"/>
      <c r="L27" s="27"/>
      <c r="M27" s="27"/>
      <c r="N27" s="26"/>
      <c r="O27" s="26"/>
      <c r="P27" s="31"/>
    </row>
    <row r="28" spans="1:16" x14ac:dyDescent="0.35">
      <c r="A28" s="25">
        <v>25</v>
      </c>
      <c r="B28" s="26"/>
      <c r="C28" s="27"/>
      <c r="D28" s="27"/>
      <c r="E28" s="26"/>
      <c r="F28" s="26"/>
      <c r="G28" s="28"/>
      <c r="H28" s="28"/>
      <c r="I28" s="29"/>
      <c r="J28" s="30"/>
      <c r="K28" s="26"/>
      <c r="L28" s="27"/>
      <c r="M28" s="27"/>
      <c r="N28" s="26"/>
      <c r="O28" s="26"/>
      <c r="P28" s="26"/>
    </row>
    <row r="29" spans="1:16" x14ac:dyDescent="0.35">
      <c r="A29" s="25">
        <v>26</v>
      </c>
      <c r="B29" s="26"/>
      <c r="C29" s="27"/>
      <c r="D29" s="27"/>
      <c r="E29" s="26"/>
      <c r="F29" s="26"/>
      <c r="G29" s="28"/>
      <c r="H29" s="28"/>
      <c r="I29" s="29"/>
      <c r="J29" s="30"/>
      <c r="K29" s="26"/>
      <c r="L29" s="27"/>
      <c r="M29" s="27"/>
      <c r="N29" s="26"/>
      <c r="O29" s="26"/>
      <c r="P29" s="26"/>
    </row>
    <row r="30" spans="1:16" x14ac:dyDescent="0.35">
      <c r="A30" s="25">
        <v>27</v>
      </c>
      <c r="B30" s="26"/>
      <c r="C30" s="27"/>
      <c r="D30" s="27"/>
      <c r="E30" s="26"/>
      <c r="F30" s="26"/>
      <c r="G30" s="28"/>
      <c r="H30" s="28"/>
      <c r="I30" s="29"/>
      <c r="J30" s="30"/>
      <c r="K30" s="26"/>
      <c r="L30" s="27"/>
      <c r="M30" s="27"/>
      <c r="N30" s="26"/>
      <c r="O30" s="26"/>
      <c r="P30" s="26"/>
    </row>
    <row r="31" spans="1:16" x14ac:dyDescent="0.35">
      <c r="A31" s="25">
        <v>28</v>
      </c>
      <c r="B31" s="26"/>
      <c r="C31" s="27"/>
      <c r="D31" s="27"/>
      <c r="E31" s="26"/>
      <c r="F31" s="26"/>
      <c r="G31" s="28"/>
      <c r="H31" s="28"/>
      <c r="I31" s="29"/>
      <c r="J31" s="30"/>
      <c r="K31" s="26"/>
      <c r="L31" s="27"/>
      <c r="M31" s="27"/>
      <c r="N31" s="26"/>
      <c r="O31" s="26"/>
      <c r="P31" s="26"/>
    </row>
    <row r="32" spans="1:16" x14ac:dyDescent="0.35">
      <c r="A32" s="25">
        <v>29</v>
      </c>
      <c r="B32" s="26"/>
      <c r="C32" s="27"/>
      <c r="D32" s="27"/>
      <c r="E32" s="26"/>
      <c r="F32" s="26"/>
      <c r="G32" s="28"/>
      <c r="H32" s="28"/>
      <c r="I32" s="29"/>
      <c r="J32" s="30"/>
      <c r="K32" s="26"/>
      <c r="L32" s="27"/>
      <c r="M32" s="27"/>
      <c r="N32" s="26"/>
      <c r="O32" s="26"/>
      <c r="P32" s="26"/>
    </row>
    <row r="33" spans="1:16" x14ac:dyDescent="0.35">
      <c r="A33" s="25">
        <v>30</v>
      </c>
      <c r="B33" s="26"/>
      <c r="C33" s="27"/>
      <c r="D33" s="27"/>
      <c r="E33" s="26"/>
      <c r="F33" s="26"/>
      <c r="G33" s="28"/>
      <c r="H33" s="28"/>
      <c r="I33" s="29"/>
      <c r="J33" s="30"/>
      <c r="K33" s="26"/>
      <c r="L33" s="27"/>
      <c r="M33" s="27"/>
      <c r="N33" s="26"/>
      <c r="O33" s="26"/>
      <c r="P33" s="26"/>
    </row>
    <row r="34" spans="1:16" x14ac:dyDescent="0.35">
      <c r="A34" s="25">
        <v>31</v>
      </c>
      <c r="B34" s="26"/>
      <c r="C34" s="27"/>
      <c r="D34" s="27"/>
      <c r="E34" s="26"/>
      <c r="F34" s="26"/>
      <c r="G34" s="28"/>
      <c r="H34" s="28"/>
      <c r="I34" s="29"/>
      <c r="J34" s="30"/>
      <c r="K34" s="26"/>
      <c r="L34" s="27"/>
      <c r="M34" s="27"/>
      <c r="N34" s="26"/>
      <c r="O34" s="26"/>
      <c r="P34" s="26"/>
    </row>
    <row r="35" spans="1:16" x14ac:dyDescent="0.35">
      <c r="A35" s="25">
        <v>32</v>
      </c>
      <c r="B35" s="26"/>
      <c r="C35" s="27"/>
      <c r="D35" s="27"/>
      <c r="E35" s="26"/>
      <c r="F35" s="26"/>
      <c r="G35" s="28"/>
      <c r="H35" s="28"/>
      <c r="I35" s="29"/>
      <c r="J35" s="30"/>
      <c r="K35" s="26"/>
      <c r="L35" s="27"/>
      <c r="M35" s="27"/>
      <c r="N35" s="26"/>
      <c r="O35" s="26"/>
      <c r="P35" s="26"/>
    </row>
    <row r="36" spans="1:16" x14ac:dyDescent="0.35">
      <c r="A36" s="25">
        <v>33</v>
      </c>
      <c r="B36" s="26"/>
      <c r="C36" s="27"/>
      <c r="D36" s="27"/>
      <c r="E36" s="26"/>
      <c r="F36" s="26"/>
      <c r="G36" s="28"/>
      <c r="H36" s="28"/>
      <c r="I36" s="29"/>
      <c r="J36" s="30"/>
      <c r="K36" s="26"/>
      <c r="L36" s="27"/>
      <c r="M36" s="27"/>
      <c r="N36" s="26"/>
      <c r="O36" s="26"/>
      <c r="P36" s="26"/>
    </row>
    <row r="37" spans="1:16" x14ac:dyDescent="0.35">
      <c r="A37" s="25">
        <v>34</v>
      </c>
      <c r="B37" s="26"/>
      <c r="C37" s="27"/>
      <c r="D37" s="27"/>
      <c r="E37" s="26"/>
      <c r="F37" s="26"/>
      <c r="G37" s="28"/>
      <c r="H37" s="28"/>
      <c r="I37" s="29"/>
      <c r="J37" s="30"/>
      <c r="K37" s="26"/>
      <c r="L37" s="27"/>
      <c r="M37" s="27"/>
      <c r="N37" s="26"/>
      <c r="O37" s="26"/>
      <c r="P37" s="26"/>
    </row>
    <row r="38" spans="1:16" x14ac:dyDescent="0.35">
      <c r="A38" s="25">
        <v>35</v>
      </c>
      <c r="B38" s="26"/>
      <c r="C38" s="27"/>
      <c r="D38" s="27"/>
      <c r="E38" s="26"/>
      <c r="F38" s="26"/>
      <c r="G38" s="28"/>
      <c r="H38" s="28"/>
      <c r="I38" s="29"/>
      <c r="J38" s="30"/>
      <c r="K38" s="26"/>
      <c r="L38" s="27"/>
      <c r="M38" s="27"/>
      <c r="N38" s="26"/>
      <c r="O38" s="26"/>
      <c r="P38" s="26"/>
    </row>
    <row r="39" spans="1:16" x14ac:dyDescent="0.35">
      <c r="A39" s="25">
        <v>36</v>
      </c>
      <c r="B39" s="26"/>
      <c r="C39" s="27"/>
      <c r="D39" s="27"/>
      <c r="E39" s="26"/>
      <c r="F39" s="26"/>
      <c r="G39" s="28"/>
      <c r="H39" s="28"/>
      <c r="I39" s="29"/>
      <c r="J39" s="30"/>
      <c r="K39" s="26"/>
      <c r="L39" s="27"/>
      <c r="M39" s="27"/>
      <c r="N39" s="26"/>
      <c r="O39" s="26"/>
      <c r="P39" s="26"/>
    </row>
    <row r="40" spans="1:16" x14ac:dyDescent="0.35">
      <c r="A40" s="25">
        <v>37</v>
      </c>
      <c r="B40" s="26"/>
      <c r="C40" s="27"/>
      <c r="D40" s="27"/>
      <c r="E40" s="26"/>
      <c r="F40" s="26"/>
      <c r="G40" s="28"/>
      <c r="H40" s="28"/>
      <c r="I40" s="29"/>
      <c r="J40" s="30"/>
      <c r="K40" s="26"/>
      <c r="L40" s="27"/>
      <c r="M40" s="27"/>
      <c r="N40" s="26"/>
      <c r="O40" s="26"/>
      <c r="P40" s="26"/>
    </row>
    <row r="41" spans="1:16" x14ac:dyDescent="0.35">
      <c r="A41" s="25">
        <v>38</v>
      </c>
      <c r="B41" s="26"/>
      <c r="C41" s="27"/>
      <c r="D41" s="27"/>
      <c r="E41" s="26"/>
      <c r="F41" s="26"/>
      <c r="G41" s="28"/>
      <c r="H41" s="28"/>
      <c r="I41" s="29"/>
      <c r="J41" s="30"/>
      <c r="K41" s="26"/>
      <c r="L41" s="27"/>
      <c r="M41" s="27"/>
      <c r="N41" s="26"/>
      <c r="O41" s="26"/>
      <c r="P41" s="26"/>
    </row>
    <row r="42" spans="1:16" x14ac:dyDescent="0.35">
      <c r="A42" s="25">
        <v>39</v>
      </c>
      <c r="B42" s="26"/>
      <c r="C42" s="27"/>
      <c r="D42" s="27"/>
      <c r="E42" s="26"/>
      <c r="F42" s="26"/>
      <c r="G42" s="28"/>
      <c r="H42" s="28"/>
      <c r="I42" s="29"/>
      <c r="J42" s="30"/>
      <c r="K42" s="26"/>
      <c r="L42" s="27"/>
      <c r="M42" s="27"/>
      <c r="N42" s="26"/>
      <c r="O42" s="26"/>
      <c r="P42" s="26"/>
    </row>
    <row r="43" spans="1:16" x14ac:dyDescent="0.35">
      <c r="A43" s="25">
        <v>40</v>
      </c>
      <c r="B43" s="26"/>
      <c r="C43" s="27"/>
      <c r="D43" s="27"/>
      <c r="E43" s="26"/>
      <c r="F43" s="26"/>
      <c r="G43" s="28"/>
      <c r="H43" s="28"/>
      <c r="I43" s="29"/>
      <c r="J43" s="30"/>
      <c r="K43" s="26"/>
      <c r="L43" s="27"/>
      <c r="M43" s="27"/>
      <c r="N43" s="26"/>
      <c r="O43" s="26"/>
      <c r="P43" s="26"/>
    </row>
    <row r="44" spans="1:16" x14ac:dyDescent="0.35">
      <c r="A44" s="25">
        <v>41</v>
      </c>
      <c r="B44" s="26"/>
      <c r="C44" s="27"/>
      <c r="D44" s="27"/>
      <c r="E44" s="26"/>
      <c r="F44" s="26"/>
      <c r="G44" s="28"/>
      <c r="H44" s="28"/>
      <c r="I44" s="29"/>
      <c r="J44" s="30"/>
      <c r="K44" s="26"/>
      <c r="L44" s="27"/>
      <c r="M44" s="27"/>
      <c r="N44" s="26"/>
      <c r="O44" s="26"/>
      <c r="P44" s="26"/>
    </row>
    <row r="45" spans="1:16" x14ac:dyDescent="0.35">
      <c r="A45" s="32">
        <v>42</v>
      </c>
      <c r="B45" s="33"/>
      <c r="C45" s="34"/>
      <c r="D45" s="34"/>
      <c r="E45" s="33"/>
      <c r="F45" s="33"/>
      <c r="G45" s="35"/>
      <c r="H45" s="35"/>
      <c r="I45" s="29"/>
      <c r="J45" s="30"/>
      <c r="K45" s="26"/>
      <c r="L45" s="27"/>
      <c r="M45" s="27"/>
      <c r="N45" s="26"/>
      <c r="O45" s="26"/>
      <c r="P45" s="26"/>
    </row>
    <row r="46" spans="1:16" x14ac:dyDescent="0.35">
      <c r="A46" s="36"/>
      <c r="B46" s="37"/>
      <c r="C46" s="37"/>
      <c r="D46" s="37"/>
      <c r="E46" s="37"/>
      <c r="F46" s="37"/>
      <c r="G46" s="37"/>
      <c r="H46" s="37"/>
      <c r="I46" s="38"/>
      <c r="J46" s="30"/>
      <c r="K46" s="26"/>
      <c r="L46" s="27"/>
      <c r="M46" s="27"/>
      <c r="N46" s="26"/>
      <c r="O46" s="26"/>
      <c r="P46" s="31"/>
    </row>
    <row r="47" spans="1:16" x14ac:dyDescent="0.35">
      <c r="A47" s="39"/>
      <c r="B47" s="40"/>
      <c r="C47" s="40"/>
      <c r="D47" s="40"/>
      <c r="E47" s="40"/>
      <c r="F47" s="40"/>
      <c r="G47" s="40"/>
      <c r="H47" s="40"/>
      <c r="I47" s="38"/>
      <c r="J47" s="30"/>
      <c r="K47" s="26"/>
      <c r="L47" s="27"/>
      <c r="M47" s="27"/>
      <c r="N47" s="26"/>
      <c r="O47" s="26"/>
      <c r="P47" s="31"/>
    </row>
    <row r="48" spans="1:16" x14ac:dyDescent="0.35">
      <c r="A48" s="39"/>
      <c r="B48" s="40"/>
      <c r="C48" s="40"/>
      <c r="D48" s="40"/>
      <c r="E48" s="40"/>
      <c r="F48" s="40"/>
      <c r="G48" s="40"/>
      <c r="H48" s="40"/>
      <c r="I48" s="38"/>
      <c r="J48" s="30"/>
      <c r="K48" s="26"/>
      <c r="L48" s="27"/>
      <c r="M48" s="27"/>
      <c r="N48" s="26"/>
      <c r="O48" s="26"/>
      <c r="P48" s="31"/>
    </row>
    <row r="49" spans="1:16" x14ac:dyDescent="0.35">
      <c r="A49" s="39"/>
      <c r="B49" s="40"/>
      <c r="C49" s="40"/>
      <c r="D49" s="40"/>
      <c r="E49" s="40"/>
      <c r="F49" s="40"/>
      <c r="G49" s="40"/>
      <c r="H49" s="40"/>
      <c r="I49" s="38"/>
      <c r="J49" s="30"/>
      <c r="K49" s="26"/>
      <c r="L49" s="27"/>
      <c r="M49" s="27"/>
      <c r="N49" s="26"/>
      <c r="O49" s="26"/>
      <c r="P49" s="31"/>
    </row>
    <row r="50" spans="1:16" x14ac:dyDescent="0.35">
      <c r="A50" s="39"/>
      <c r="B50" s="40"/>
      <c r="C50" s="40"/>
      <c r="D50" s="40"/>
      <c r="E50" s="40"/>
      <c r="F50" s="40"/>
      <c r="G50" s="40"/>
      <c r="H50" s="40"/>
      <c r="I50" s="38"/>
      <c r="J50" s="30"/>
      <c r="K50" s="26"/>
      <c r="L50" s="27"/>
      <c r="M50" s="27"/>
      <c r="N50" s="26"/>
      <c r="O50" s="26"/>
      <c r="P50" s="31"/>
    </row>
    <row r="51" spans="1:16" s="19" customFormat="1" x14ac:dyDescent="0.35">
      <c r="A51" s="39"/>
      <c r="B51" s="40"/>
      <c r="C51" s="40"/>
      <c r="D51" s="40"/>
      <c r="E51" s="40"/>
      <c r="F51" s="40"/>
      <c r="G51" s="40"/>
      <c r="H51" s="40"/>
      <c r="I51" s="38"/>
      <c r="J51" s="30"/>
      <c r="K51" s="26"/>
      <c r="L51" s="27"/>
      <c r="M51" s="27"/>
      <c r="N51" s="26"/>
      <c r="O51" s="26"/>
      <c r="P51" s="31"/>
    </row>
    <row r="52" spans="1:16" s="19" customFormat="1" x14ac:dyDescent="0.35">
      <c r="A52" s="39"/>
      <c r="B52" s="40"/>
      <c r="C52" s="40"/>
      <c r="D52" s="40"/>
      <c r="E52" s="40"/>
      <c r="F52" s="40"/>
      <c r="G52" s="40"/>
      <c r="H52" s="40"/>
      <c r="I52" s="38"/>
      <c r="J52" s="30"/>
      <c r="K52" s="26"/>
      <c r="L52" s="27"/>
      <c r="M52" s="27"/>
      <c r="N52" s="26"/>
      <c r="O52" s="26"/>
      <c r="P52" s="31"/>
    </row>
    <row r="53" spans="1:16" s="19" customFormat="1" x14ac:dyDescent="0.35">
      <c r="A53" s="41"/>
      <c r="B53" s="42"/>
      <c r="C53" s="42"/>
      <c r="D53" s="42"/>
      <c r="E53" s="42"/>
      <c r="F53" s="42"/>
      <c r="G53" s="42"/>
      <c r="H53" s="42"/>
      <c r="I53" s="42"/>
      <c r="J53" s="42"/>
      <c r="K53" s="42"/>
      <c r="L53" s="43"/>
      <c r="M53" s="43"/>
      <c r="N53" s="40"/>
      <c r="O53" s="40"/>
      <c r="P53" s="42"/>
    </row>
    <row r="54" spans="1:16" s="19" customFormat="1" x14ac:dyDescent="0.35">
      <c r="D54" s="44"/>
      <c r="I54" s="18"/>
      <c r="L54" s="18"/>
      <c r="M54" s="18"/>
      <c r="N54" s="18"/>
      <c r="P54" s="18"/>
    </row>
    <row r="55" spans="1:16" s="19" customFormat="1" x14ac:dyDescent="0.35">
      <c r="D55" s="44"/>
      <c r="I55" s="18"/>
      <c r="L55" s="18"/>
      <c r="M55" s="18"/>
      <c r="N55" s="18"/>
      <c r="P55" s="18"/>
    </row>
    <row r="56" spans="1:16" s="19" customFormat="1" x14ac:dyDescent="0.35">
      <c r="D56" s="44"/>
      <c r="I56" s="18"/>
      <c r="L56" s="18"/>
      <c r="M56" s="18"/>
      <c r="N56" s="18"/>
      <c r="P56" s="18"/>
    </row>
    <row r="57" spans="1:16" s="19" customFormat="1" x14ac:dyDescent="0.35">
      <c r="C57" s="45"/>
      <c r="D57" s="44"/>
      <c r="I57" s="18"/>
      <c r="L57" s="18"/>
      <c r="M57" s="18"/>
      <c r="N57" s="18"/>
      <c r="P57" s="18"/>
    </row>
    <row r="58" spans="1:16" s="19" customFormat="1" x14ac:dyDescent="0.35">
      <c r="D58" s="44"/>
      <c r="I58" s="18"/>
      <c r="L58" s="18"/>
      <c r="M58" s="18"/>
      <c r="N58" s="18"/>
      <c r="P58" s="18"/>
    </row>
    <row r="59" spans="1:16" s="19" customFormat="1" x14ac:dyDescent="0.35">
      <c r="D59" s="44"/>
      <c r="I59" s="18"/>
      <c r="L59" s="18"/>
      <c r="M59" s="18"/>
      <c r="N59" s="18"/>
      <c r="P59" s="18"/>
    </row>
    <row r="60" spans="1:16" s="19" customFormat="1" x14ac:dyDescent="0.35">
      <c r="D60" s="44"/>
      <c r="I60" s="18"/>
      <c r="L60" s="18"/>
      <c r="M60" s="18"/>
      <c r="N60" s="18"/>
      <c r="P60" s="18"/>
    </row>
  </sheetData>
  <autoFilter ref="A3:P52" xr:uid="{F863FADF-E251-4E93-873F-F3A80D215D2F}"/>
  <mergeCells count="2">
    <mergeCell ref="A1:H1"/>
    <mergeCell ref="J1:P1"/>
  </mergeCells>
  <pageMargins left="0.70866141732283472" right="0.70866141732283472" top="0.74803149606299213" bottom="0.74803149606299213" header="0.31496062992125984" footer="0.31496062992125984"/>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1482-E6B0-428C-A764-FCA04E4E70A6}">
  <dimension ref="B2:B7"/>
  <sheetViews>
    <sheetView workbookViewId="0">
      <selection activeCell="B2" sqref="B2:B7"/>
    </sheetView>
  </sheetViews>
  <sheetFormatPr defaultRowHeight="14.5" x14ac:dyDescent="0.35"/>
  <sheetData>
    <row r="2" spans="2:2" x14ac:dyDescent="0.35">
      <c r="B2" s="46" t="s">
        <v>116</v>
      </c>
    </row>
    <row r="3" spans="2:2" x14ac:dyDescent="0.35">
      <c r="B3" s="10" t="s">
        <v>115</v>
      </c>
    </row>
    <row r="4" spans="2:2" x14ac:dyDescent="0.35">
      <c r="B4" s="46" t="s">
        <v>120</v>
      </c>
    </row>
    <row r="5" spans="2:2" x14ac:dyDescent="0.35">
      <c r="B5" s="46" t="s">
        <v>121</v>
      </c>
    </row>
    <row r="6" spans="2:2" x14ac:dyDescent="0.35">
      <c r="B6" s="10" t="s">
        <v>116</v>
      </c>
    </row>
    <row r="7" spans="2:2" x14ac:dyDescent="0.35">
      <c r="B7" s="10" t="s">
        <v>128</v>
      </c>
    </row>
  </sheetData>
  <conditionalFormatting sqref="B2:B7">
    <cfRule type="expression" dxfId="0" priority="1">
      <formula>$X2&gt;1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4b24703-4235-44c6-b699-9a0bf94b03a0">
      <Terms xmlns="http://schemas.microsoft.com/office/infopath/2007/PartnerControls"/>
    </lcf76f155ced4ddcb4097134ff3c332f>
    <Approver xmlns="94b24703-4235-44c6-b699-9a0bf94b03a0">
      <UserInfo>
        <DisplayName/>
        <AccountId xsi:nil="true"/>
        <AccountType/>
      </UserInfo>
    </Approver>
    <_Flow_SignoffStatus xmlns="94b24703-4235-44c6-b699-9a0bf94b03a0" xsi:nil="true"/>
    <TaxCatchAll xmlns="0876aff5-59e5-4fe6-98d5-c09b18add28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F6FC2A91A99B845A2691B350A9443B0" ma:contentTypeVersion="17" ma:contentTypeDescription="Create a new document." ma:contentTypeScope="" ma:versionID="b80c4b50e68709ab166160d9ee2465cb">
  <xsd:schema xmlns:xsd="http://www.w3.org/2001/XMLSchema" xmlns:xs="http://www.w3.org/2001/XMLSchema" xmlns:p="http://schemas.microsoft.com/office/2006/metadata/properties" xmlns:ns2="94b24703-4235-44c6-b699-9a0bf94b03a0" xmlns:ns3="0876aff5-59e5-4fe6-98d5-c09b18add285" targetNamespace="http://schemas.microsoft.com/office/2006/metadata/properties" ma:root="true" ma:fieldsID="462a5014f39073ee8b50a92afe33f943" ns2:_="" ns3:_="">
    <xsd:import namespace="94b24703-4235-44c6-b699-9a0bf94b03a0"/>
    <xsd:import namespace="0876aff5-59e5-4fe6-98d5-c09b18add28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element ref="ns2:MediaServiceDateTaken" minOccurs="0"/>
                <xsd:element ref="ns2:MediaLengthInSeconds" minOccurs="0"/>
                <xsd:element ref="ns2:MediaServiceLocation" minOccurs="0"/>
                <xsd:element ref="ns2:_Flow_SignoffStatus" minOccurs="0"/>
                <xsd:element ref="ns2:Approv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b24703-4235-44c6-b699-9a0bf94b03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dfc1b663-3d84-4bab-b48e-8dc04a24c91e"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Location" ma:index="22" nillable="true" ma:displayName="Location" ma:indexed="true" ma:internalName="MediaServiceLocation" ma:readOnly="true">
      <xsd:simpleType>
        <xsd:restriction base="dms:Text"/>
      </xsd:simpleType>
    </xsd:element>
    <xsd:element name="_Flow_SignoffStatus" ma:index="23" nillable="true" ma:displayName="Sign-off status" ma:internalName="Sign_x002d_off_x0020_status">
      <xsd:simpleType>
        <xsd:restriction base="dms:Text"/>
      </xsd:simpleType>
    </xsd:element>
    <xsd:element name="Approver" ma:index="24" nillable="true" ma:displayName="Approver" ma:format="Dropdown" ma:list="UserInfo" ma:SharePointGroup="0" ma:internalName="Approv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876aff5-59e5-4fe6-98d5-c09b18add28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10c8a36f-b461-475e-9f6f-08b5a349d512}" ma:internalName="TaxCatchAll" ma:showField="CatchAllData" ma:web="0876aff5-59e5-4fe6-98d5-c09b18add28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CBCB0FCC-F037-48A5-BE1F-CEAB16998A67}">
  <ds:schemaRefs>
    <ds:schemaRef ds:uri="http://schemas.microsoft.com/office/2006/metadata/properties"/>
    <ds:schemaRef ds:uri="http://schemas.microsoft.com/office/infopath/2007/PartnerControls"/>
    <ds:schemaRef ds:uri="94b24703-4235-44c6-b699-9a0bf94b03a0"/>
    <ds:schemaRef ds:uri="0876aff5-59e5-4fe6-98d5-c09b18add285"/>
  </ds:schemaRefs>
</ds:datastoreItem>
</file>

<file path=customXml/itemProps2.xml><?xml version="1.0" encoding="utf-8"?>
<ds:datastoreItem xmlns:ds="http://schemas.openxmlformats.org/officeDocument/2006/customXml" ds:itemID="{C07A8E17-2CE0-4383-AB8E-CDBE45526732}">
  <ds:schemaRefs>
    <ds:schemaRef ds:uri="http://schemas.microsoft.com/sharepoint/v3/contenttype/forms"/>
  </ds:schemaRefs>
</ds:datastoreItem>
</file>

<file path=customXml/itemProps3.xml><?xml version="1.0" encoding="utf-8"?>
<ds:datastoreItem xmlns:ds="http://schemas.openxmlformats.org/officeDocument/2006/customXml" ds:itemID="{A8E769F4-F498-45F6-B516-A27EDC10509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b24703-4235-44c6-b699-9a0bf94b03a0"/>
    <ds:schemaRef ds:uri="0876aff5-59e5-4fe6-98d5-c09b18add2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29B8376-F7CC-4F0B-96A4-CBB8652488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Notes</vt:lpstr>
      <vt:lpstr>Data</vt:lpstr>
      <vt:lpstr>Query</vt:lpstr>
      <vt:lpstr>Summary</vt:lpstr>
      <vt:lpstr>Current vs RCM</vt:lpstr>
      <vt:lpstr>Sheet2</vt:lpstr>
      <vt:lpstr>'Current vs RCM'!Print_Area</vt:lpstr>
      <vt:lpstr>'Current vs RCM'!Print_Titles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Atif Haziq Bin Othman (Protege)</dc:creator>
  <cp:lastModifiedBy>Ramesh Kumar A/L Krishnamurthy</cp:lastModifiedBy>
  <dcterms:created xsi:type="dcterms:W3CDTF">2025-09-18T03:01:01Z</dcterms:created>
  <dcterms:modified xsi:type="dcterms:W3CDTF">2026-07-14T01:21:37Z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0x0101006F6FC2A91A99B845A2691B350A9443B0</vt:lpwstr>
  </property>
  <property fmtid="{D5CDD505-2E9C-101B-9397-08002B2CF9AE}" pid="3" name="MediaServiceImageTags">
    <vt:lpwstr/>
  </property>
</Properties>
</file>